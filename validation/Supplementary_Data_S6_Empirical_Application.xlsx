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b53297bbf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5fb959af23c4368"/>
    <x:sheet xmlns:r="http://schemas.openxmlformats.org/officeDocument/2006/relationships" name="Published_Table1" sheetId="2" r:id="R0aa75cc136934bd0"/>
    <x:sheet xmlns:r="http://schemas.openxmlformats.org/officeDocument/2006/relationships" name="ED_Mapping" sheetId="3" r:id="R1e1e4de495c24c08"/>
    <x:sheet xmlns:r="http://schemas.openxmlformats.org/officeDocument/2006/relationships" name="CaseStudy_Results" sheetId="4" r:id="R7ccd89046fbd460c"/>
    <x:sheet xmlns:r="http://schemas.openxmlformats.org/officeDocument/2006/relationships" name="Summary" sheetId="5" r:id="R6b9a875cf5dc48d4"/>
    <x:sheet xmlns:r="http://schemas.openxmlformats.org/officeDocument/2006/relationships" name="Figures" sheetId="6" r:id="R3969ca3e6fdd4526"/>
    <x:sheet xmlns:r="http://schemas.openxmlformats.org/officeDocument/2006/relationships" name="Table3_IRI" sheetId="7" r:id="R7c87d05811f048c6"/>
    <x:sheet xmlns:r="http://schemas.openxmlformats.org/officeDocument/2006/relationships" name="Fig4_IRI_W_E" sheetId="8" r:id="R3348c29c7690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3"/>
      <x:name val="Carlito"/>
    </x:font>
    <x:font>
      <x:i/>
      <x:sz val="9"/>
      <x:name val="Carlito"/>
    </x:font>
    <x:font>
      <x:b/>
      <x:i/>
      <x:sz val="11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3">
    <x:border/>
    <x:border/>
    <x:border>
      <x:bottom style="thin">
        <x:color rgb="FF000000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5" fillId="6" borderId="0" xfId="0" applyNumberFormat="1" applyFont="1" applyFill="1" applyBorder="1"/>
    <x:xf numFmtId="20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horizont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354e9d12c4643" /><Relationship Type="http://schemas.openxmlformats.org/officeDocument/2006/relationships/theme" Target="/xl/theme/theme1.xml" Id="R9634557490304679" /><Relationship Type="http://schemas.openxmlformats.org/officeDocument/2006/relationships/sharedStrings" Target="/xl/sharedStrings.xml" Id="R832cc4bcbb3746ef" /><Relationship Type="http://schemas.openxmlformats.org/officeDocument/2006/relationships/worksheet" Target="/xl/worksheets/sheet1.xml" Id="Rb5fb959af23c4368" /><Relationship Type="http://schemas.openxmlformats.org/officeDocument/2006/relationships/worksheet" Target="/xl/worksheets/sheet2.xml" Id="R0aa75cc136934bd0" /><Relationship Type="http://schemas.openxmlformats.org/officeDocument/2006/relationships/worksheet" Target="/xl/worksheets/sheet3.xml" Id="R1e1e4de495c24c08" /><Relationship Type="http://schemas.openxmlformats.org/officeDocument/2006/relationships/worksheet" Target="/xl/worksheets/sheet4.xml" Id="R7ccd89046fbd460c" /><Relationship Type="http://schemas.openxmlformats.org/officeDocument/2006/relationships/worksheet" Target="/xl/worksheets/sheet5.xml" Id="R6b9a875cf5dc48d4" /><Relationship Type="http://schemas.openxmlformats.org/officeDocument/2006/relationships/worksheet" Target="/xl/worksheets/sheet6.xml" Id="R3969ca3e6fdd4526" /><Relationship Type="http://schemas.openxmlformats.org/officeDocument/2006/relationships/worksheet" Target="/xl/worksheets/sheet7.xml" Id="R7c87d05811f048c6" /><Relationship Type="http://schemas.openxmlformats.org/officeDocument/2006/relationships/worksheet" Target="/xl/worksheets/sheet8.xml" Id="R3348c29c769048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684e5258aa4716" /><Relationship Type="http://schemas.openxmlformats.org/officeDocument/2006/relationships/chart" Target="/xl/drawings/charts/chart2.xml" Id="Re84d015fbb664fc0" /><Relationship Type="http://schemas.openxmlformats.org/officeDocument/2006/relationships/chart" Target="/xl/drawings/charts/chart3.xml" Id="Rf135b0bf3ca44e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80f2fef752943d7" /><Relationship Type="http://schemas.openxmlformats.org/officeDocument/2006/relationships/chart" Target="/xl/drawings/charts/chart5.xml" Id="R2e9151f2008847cc" /><Relationship Type="http://schemas.openxmlformats.org/officeDocument/2006/relationships/chart" Target="/xl/drawings/charts/chart6.xml" Id="Ra2c1cec6aedb45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Trichiurus japonicus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%W</c:v>
          </c:tx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%E</c:v>
          </c:tx>
          <c:cat>
            <c:strRef>
              <c:f>'Figures'!$A$4:$A$9</c:f>
              <c:strCache>
                <c:ptCount val="0"/>
              </c:strCache>
            </c:strRef>
          </c:cat>
          <c:val>
            <c:numRef>
              <c:f>'Figures'!$C$4:$C$9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Scomber japonicus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%W</c:v>
          </c:tx>
          <c:cat>
            <c:strRef>
              <c:f>'Figures'!$A$21:$A$29</c:f>
              <c:strCache>
                <c:ptCount val="0"/>
              </c:strCache>
            </c:strRef>
          </c:cat>
          <c:val>
            <c:numRef>
              <c:f>'Figures'!$B$21:$B$29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%E</c:v>
          </c:tx>
          <c:cat>
            <c:strRef>
              <c:f>'Figures'!$A$21:$A$29</c:f>
              <c:strCache>
                <c:ptCount val="0"/>
              </c:strCache>
            </c:strRef>
          </c:cat>
          <c:val>
            <c:numRef>
              <c:f>'Figures'!$C$21:$C$29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Trachurus japonicus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%W</c:v>
          </c:tx>
          <c:cat>
            <c:strRef>
              <c:f>'Figures'!$A$38:$A$47</c:f>
              <c:strCache>
                <c:ptCount val="0"/>
              </c:strCache>
            </c:strRef>
          </c:cat>
          <c:val>
            <c:numRef>
              <c:f>'Figures'!$B$38:$B$47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%E</c:v>
          </c:tx>
          <c:cat>
            <c:strRef>
              <c:f>'Figures'!$A$38:$A$47</c:f>
              <c:strCache>
                <c:ptCount val="0"/>
              </c:strCache>
            </c:strRef>
          </c:cat>
          <c:val>
            <c:numRef>
              <c:f>'Figures'!$C$38:$C$47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Trichiurus japonicus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%IRI</c:v>
          </c:tx>
          <c:cat>
            <c:strRef>
              <c:f>'Fig4_IRI_W_E'!$A$5:$A$6</c:f>
              <c:strCache>
                <c:ptCount val="0"/>
              </c:strCache>
            </c:strRef>
          </c:cat>
          <c:val>
            <c:numRef>
              <c:f>'Fig4_IRI_W_E'!$B$5:$B$6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%W</c:v>
          </c:tx>
          <c:cat>
            <c:strRef>
              <c:f>'Fig4_IRI_W_E'!$A$5:$A$6</c:f>
              <c:strCache>
                <c:ptCount val="0"/>
              </c:strCache>
            </c:strRef>
          </c:cat>
          <c:val>
            <c:numRef>
              <c:f>'Fig4_IRI_W_E'!$C$5:$C$6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%E</c:v>
          </c:tx>
          <c:cat>
            <c:strRef>
              <c:f>'Fig4_IRI_W_E'!$A$5:$A$6</c:f>
              <c:strCache>
                <c:ptCount val="0"/>
              </c:strCache>
            </c:strRef>
          </c:cat>
          <c:val>
            <c:numRef>
              <c:f>'Fig4_IRI_W_E'!$D$5:$D$6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Relative contribution (%)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  <c:majorUnit val="20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Scomber japonicus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%IRI</c:v>
          </c:tx>
          <c:cat>
            <c:strRef>
              <c:f>'Fig4_IRI_W_E'!$A$14:$A$16</c:f>
              <c:strCache>
                <c:ptCount val="0"/>
              </c:strCache>
            </c:strRef>
          </c:cat>
          <c:val>
            <c:numRef>
              <c:f>'Fig4_IRI_W_E'!$B$14:$B$16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%W</c:v>
          </c:tx>
          <c:cat>
            <c:strRef>
              <c:f>'Fig4_IRI_W_E'!$A$14:$A$16</c:f>
              <c:strCache>
                <c:ptCount val="0"/>
              </c:strCache>
            </c:strRef>
          </c:cat>
          <c:val>
            <c:numRef>
              <c:f>'Fig4_IRI_W_E'!$C$14:$C$16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%E</c:v>
          </c:tx>
          <c:cat>
            <c:strRef>
              <c:f>'Fig4_IRI_W_E'!$A$14:$A$16</c:f>
              <c:strCache>
                <c:ptCount val="0"/>
              </c:strCache>
            </c:strRef>
          </c:cat>
          <c:val>
            <c:numRef>
              <c:f>'Fig4_IRI_W_E'!$D$14:$D$16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Relative contribution (%)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  <c:majorUnit val="20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Trachurus japonicus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%IRI</c:v>
          </c:tx>
          <c:cat>
            <c:strRef>
              <c:f>'Fig4_IRI_W_E'!$A$24:$A$26</c:f>
              <c:strCache>
                <c:ptCount val="0"/>
              </c:strCache>
            </c:strRef>
          </c:cat>
          <c:val>
            <c:numRef>
              <c:f>'Fig4_IRI_W_E'!$B$24:$B$26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%W</c:v>
          </c:tx>
          <c:cat>
            <c:strRef>
              <c:f>'Fig4_IRI_W_E'!$A$24:$A$26</c:f>
              <c:strCache>
                <c:ptCount val="0"/>
              </c:strCache>
            </c:strRef>
          </c:cat>
          <c:val>
            <c:numRef>
              <c:f>'Fig4_IRI_W_E'!$C$24:$C$26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%E</c:v>
          </c:tx>
          <c:cat>
            <c:strRef>
              <c:f>'Fig4_IRI_W_E'!$A$24:$A$26</c:f>
              <c:strCache>
                <c:ptCount val="0"/>
              </c:strCache>
            </c:strRef>
          </c:cat>
          <c:val>
            <c:numRef>
              <c:f>'Fig4_IRI_W_E'!$D$24:$D$26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Relative contribution (%)</a:t>
                </a:r>
              </a:p>
            </c:rich>
          </c:tx>
        </c:title>
        <c:numFmt formatCode="0"/>
        <c:majorTickMark val="none"/>
        <c:minorTickMark val="none"/>
        <c:crossAx val="48650112"/>
        <c:crossBetween val="between"/>
        <c:majorUnit val="20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684e5258aa4716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4d015fbb664fc0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13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35b0bf3ca44e5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0f2fef752943d7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9151f2008847cc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c1cec6aedb45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blishedTable1" displayName="PublishedTable1" ref="A1:J33" headerRowCount="1" totalsRowCount="0" totalsRowShown="0">
  <x:tableColumns count="10">
    <x:tableColumn id="1" name="Predator"/>
    <x:tableColumn id="2" name="Prey_group"/>
    <x:tableColumn id="3" name="%F"/>
    <x:tableColumn id="4" name="%N"/>
    <x:tableColumn id="5" name="Published_%W"/>
    <x:tableColumn id="6" name="%W_flag"/>
    <x:tableColumn id="7" name="%IRI"/>
    <x:tableColumn id="8" name="%IRI_flag"/>
    <x:tableColumn id="9" name="Paper_source"/>
    <x:tableColumn id="1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MappingTable" displayName="EDMappingTable" ref="A1:I16" headerRowCount="1" totalsRowCount="0" totalsRowShown="0">
  <x:tableColumns count="9">
    <x:tableColumn id="1" name="Prey_group"/>
    <x:tableColumn id="2" name="PECC_match_level"/>
    <x:tableColumn id="3" name="Matched_taxon_or_group"/>
    <x:tableColumn id="4" name="ED_kJ_g_WW"/>
    <x:tableColumn id="5" name="ED_min"/>
    <x:tableColumn id="6" name="ED_max"/>
    <x:tableColumn id="7" name="ED_source"/>
    <x:tableColumn id="8" name="ED_source_URL"/>
    <x:tableColumn id="9" name="Mapping_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StudyTable" displayName="CaseStudyTable" ref="A1:R26" headerRowCount="1" totalsRowCount="0" totalsRowShown="0">
  <x:tableColumns count="18">
    <x:tableColumn id="1" name="Predator"/>
    <x:tableColumn id="2" name="Prey_group"/>
    <x:tableColumn id="3" name="Published_%W"/>
    <x:tableColumn id="4" name="PECC_match_level"/>
    <x:tableColumn id="5" name="Matched_ED_group"/>
    <x:tableColumn id="6" name="ED"/>
    <x:tableColumn id="7" name="ED_min"/>
    <x:tableColumn id="8" name="ED_max"/>
    <x:tableColumn id="9" name="Normalized_%W"/>
    <x:tableColumn id="10" name="Relative_energy_score"/>
    <x:tableColumn id="11" name="Estimated_%E"/>
    <x:tableColumn id="12" name="Energy_score_min"/>
    <x:tableColumn id="13" name="Energy_score_max"/>
    <x:tableColumn id="14" name="%E_lower_bound"/>
    <x:tableColumn id="15" name="%E_upper_bound"/>
    <x:tableColumn id="16" name="Delta_%E_minus_%W"/>
    <x:tableColumn id="17" name="ED_source"/>
    <x:tableColumn id="18" name="Mapping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mmaryTable" displayName="SummaryTable" ref="A3:H6" headerRowCount="1" totalsRowCount="0" totalsRowShown="0">
  <x:tableColumns count="8">
    <x:tableColumn id="1" name="Predator"/>
    <x:tableColumn id="2" name="Numeric %W coverage"/>
    <x:tableColumn id="3" name="Weighted mean ED (kJ/g)"/>
    <x:tableColumn id="4" name="Pisces %W"/>
    <x:tableColumn id="5" name="Pisces %E"/>
    <x:tableColumn id="6" name="Euphausiacea %W"/>
    <x:tableColumn id="7" name="Euphausiacea %E"/>
    <x:tableColumn id="8" name="Key Δ (%E−%W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42db5470714a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0cbcdfe37d4e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34a01f445344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6b374c0acf46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caa0a00d0b44d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cb84a0570f5e46c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PECC empirical case-study dataset — Kim et al. (2026)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Item</x:v>
      </x:c>
      <x:c r="B3" s="12" t="str">
        <x:v>Description</x:v>
      </x:c>
    </x:row>
    <x:row r="4">
      <x:c r="A4" s="24" t="str">
        <x:v>Purpose</x:v>
      </x:c>
      <x:c r="B4" s="24" t="str">
        <x:v>Preliminary empirical application of PECC v1.0.0 using the published prey-group wet-weight percentages (%W) for Trichiurus japonicus, Scomber japonicus, and Trachurus japonicus.</x:v>
      </x:c>
    </x:row>
    <x:row r="5">
      <x:c r="A5" s="24" t="str">
        <x:v>Source paper</x:v>
      </x:c>
      <x:c r="B5" s="24" t="str">
        <x:v>Kim et al. (2026). Feeding Strategies and Trophic Levels of Trichiurus japonicus, Scomber japonicus, and Trachurus japonicus in the Korea Strait. Journal of Ichthyology.</x:v>
      </x:c>
    </x:row>
    <x:row r="6">
      <x:c r="A6" s="24" t="str">
        <x:v>Paper DOI</x:v>
      </x:c>
      <x:c r="B6" s="24" t="str">
        <x:v>https://doi.org/10.1134/S0032945225601836</x:v>
      </x:c>
    </x:row>
    <x:row r="7">
      <x:c r="A7" s="24" t="str">
        <x:v>Source table</x:v>
      </x:c>
      <x:c r="B7" s="24" t="str">
        <x:v>Table 1, pp. 5–6</x:v>
      </x:c>
    </x:row>
    <x:row r="8">
      <x:c r="A8" s="24" t="str">
        <x:v>Published data used</x:v>
      </x:c>
      <x:c r="B8" s="24" t="str">
        <x:v>Prey-group %W. The paper reports that prey wet weights were measured to the nearest 0.0001 g.</x:v>
      </x:c>
    </x:row>
    <x:row r="9">
      <x:c r="A9" s="24" t="str">
        <x:v>Calculation</x:v>
      </x:c>
      <x:c r="B9" s="24" t="str">
        <x:v>For each predator: normalized %W × ED gives a relative energy score; %E = prey energy score / total energy score × 100.</x:v>
      </x:c>
    </x:row>
    <x:row r="10">
      <x:c r="A10" s="24" t="str">
        <x:v>Treatment of '+'</x:v>
      </x:c>
      <x:c r="B10" s="24" t="str">
        <x:v>The paper defines '+' as &lt;0.1%. These rows are retained in Published_Table1 but excluded from numerical %E calculations because their exact %W is unknown. Numerical rows are renormalized to 100%.</x:v>
      </x:c>
    </x:row>
    <x:row r="11">
      <x:c r="A11" s="24" t="str">
        <x:v>Key limitation</x:v>
      </x:c>
      <x:c r="B11" s="24" t="str">
        <x:v>This is an aggregate published-table application, not a specimen-level analysis. The preferred final manuscript analysis should use the original prey-level wet-mass records so exact/genus/family ED matching can be applied to identified prey.</x:v>
      </x:c>
    </x:row>
    <x:row r="12">
      <x:c r="A12" s="20" t="str">
        <x:v>Interpretation rule: %E is an estimated potential energetic contribution based on literature-derived wet-mass ED. It is not assimilated or metabolizable energy. ED minimum–maximum sensitivity bounds are scenario envelopes, not confidence intervals.</x:v>
      </x:c>
      <x:c r="B12" s="20"/>
      <x:c r="C12" s="20"/>
      <x:c r="D12" s="20"/>
      <x:c r="E12" s="20"/>
      <x:c r="F12" s="20"/>
      <x:c r="G12" s="20"/>
      <x:c r="H12" s="20"/>
    </x:row>
    <x:row r="13">
      <x:c r="A13" s="68" t="str">
        <x:v>Revision note</x:v>
      </x:c>
      <x:c r="B13" s="20" t="str">
        <x:v>Updated for manuscript Fig. 4 and Table 3 to compare published %IRI, published %W, and PECC-estimated %E.</x:v>
      </x:c>
      <x:c r="C13" s="20"/>
      <x:c r="D13" s="20"/>
      <x:c r="E13" s="20"/>
      <x:c r="F13" s="20"/>
      <x:c r="G13" s="20"/>
      <x:c r="H13" s="20"/>
    </x:row>
    <x:row r="14">
      <x:c r="A14" s="68" t="str">
        <x:v>New sheet</x:v>
      </x:c>
      <x:c r="B14" s="20" t="str">
        <x:v>Table3_IRI: manuscript-ready selected prey-group table including %IRI.</x:v>
      </x:c>
      <x:c r="C14" s="20"/>
      <x:c r="D14" s="20"/>
      <x:c r="E14" s="20"/>
      <x:c r="F14" s="20"/>
      <x:c r="G14" s="20"/>
      <x:c r="H14" s="20"/>
    </x:row>
    <x:row r="15">
      <x:c r="A15" s="68" t="str">
        <x:v>New sheet</x:v>
      </x:c>
      <x:c r="B15" s="20" t="str">
        <x:v>Fig4_IRI_W_E: editable chart data and three clustered-column charts (%IRI vs %W vs %E).</x:v>
      </x:c>
      <x:c r="C15" s="20"/>
      <x:c r="D15" s="20"/>
      <x:c r="E15" s="20"/>
      <x:c r="F15" s="20"/>
      <x:c r="G15" s="20"/>
      <x:c r="H15" s="20"/>
    </x:row>
    <x:row r="16">
      <x:c r="A16" s="69" t="str">
        <x:v>CaseStudy_Results</x:v>
      </x:c>
      <x:c r="B16" s="24" t="str">
        <x:v>Published_%IRI added in column S for all included numeric-%W prey groups.</x:v>
      </x:c>
    </x:row>
  </x:sheetData>
  <x:mergeCells>
    <x:mergeCell ref="A1:H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9" max="9" width="34" hidden="0" customWidth="1"/>
    <x:col min="10" max="10" width="46" hidden="0" customWidth="1"/>
  </x:cols>
  <x:sheetData>
    <x:row r="1">
      <x:c r="A1" s="12" t="str">
        <x:v>Predator</x:v>
      </x:c>
      <x:c r="B1" s="12" t="str">
        <x:v>Prey_group</x:v>
      </x:c>
      <x:c r="C1" s="12" t="str">
        <x:v>%F</x:v>
      </x:c>
      <x:c r="D1" s="12" t="str">
        <x:v>%N</x:v>
      </x:c>
      <x:c r="E1" s="12" t="str">
        <x:v>Published_%W</x:v>
      </x:c>
      <x:c r="F1" s="12" t="str">
        <x:v>%W_flag</x:v>
      </x:c>
      <x:c r="G1" s="12" t="str">
        <x:v>%IRI</x:v>
      </x:c>
      <x:c r="H1" s="12" t="str">
        <x:v>%IRI_flag</x:v>
      </x:c>
      <x:c r="I1" s="12" t="str">
        <x:v>Paper_source</x:v>
      </x:c>
      <x:c r="J1" s="12" t="str">
        <x:v>Source_URL</x:v>
      </x:c>
    </x:row>
    <x:row r="2">
      <x:c r="A2" s="24" t="str">
        <x:v>Trichiurus japonicus</x:v>
      </x:c>
      <x:c r="B2" s="24" t="str">
        <x:v>Cephalopoda</x:v>
      </x:c>
      <x:c r="C2" s="28" t="n">
        <x:v>2.8</x:v>
      </x:c>
      <x:c r="D2" s="28" t="n">
        <x:v>0.3</x:v>
      </x:c>
      <x:c r="E2" s="28" t="n">
        <x:v>0.5</x:v>
      </x:c>
      <x:c r="F2" s="24" t="str"/>
      <x:c r="G2" s="28"/>
      <x:c r="H2" s="24" t="str">
        <x:v>+</x:v>
      </x:c>
      <x:c r="I2" s="24" t="str">
        <x:v>Kim et al. 2026, Table 1, pp. 5–6</x:v>
      </x:c>
      <x:c r="J2" s="24" t="str">
        <x:v>https://doi.org/10.1134/S0032945225601836</x:v>
      </x:c>
    </x:row>
    <x:row r="3">
      <x:c r="A3" s="24" t="str">
        <x:v>Trichiurus japonicus</x:v>
      </x:c>
      <x:c r="B3" s="24" t="str">
        <x:v>Euphausiacea</x:v>
      </x:c>
      <x:c r="C3" s="28" t="n">
        <x:v>49</x:v>
      </x:c>
      <x:c r="D3" s="28" t="n">
        <x:v>88.7</x:v>
      </x:c>
      <x:c r="E3" s="28" t="n">
        <x:v>14.3</x:v>
      </x:c>
      <x:c r="F3" s="24" t="str"/>
      <x:c r="G3" s="28" t="n">
        <x:v>50.2</x:v>
      </x:c>
      <x:c r="H3" s="24" t="str"/>
      <x:c r="I3" s="24" t="str">
        <x:v>Kim et al. 2026, Table 1, pp. 5–6</x:v>
      </x:c>
      <x:c r="J3" s="24" t="str">
        <x:v>https://doi.org/10.1134/S0032945225601836</x:v>
      </x:c>
    </x:row>
    <x:row r="4">
      <x:c r="A4" s="24" t="str">
        <x:v>Trichiurus japonicus</x:v>
      </x:c>
      <x:c r="B4" s="24" t="str">
        <x:v>Macrura</x:v>
      </x:c>
      <x:c r="C4" s="28" t="n">
        <x:v>2.8</x:v>
      </x:c>
      <x:c r="D4" s="28" t="n">
        <x:v>0.6</x:v>
      </x:c>
      <x:c r="E4" s="28" t="n">
        <x:v>0.6</x:v>
      </x:c>
      <x:c r="F4" s="24" t="str"/>
      <x:c r="G4" s="28"/>
      <x:c r="H4" s="24" t="str">
        <x:v>+</x:v>
      </x:c>
      <x:c r="I4" s="24" t="str">
        <x:v>Kim et al. 2026, Table 1, pp. 5–6</x:v>
      </x:c>
      <x:c r="J4" s="24" t="str">
        <x:v>https://doi.org/10.1134/S0032945225601836</x:v>
      </x:c>
    </x:row>
    <x:row r="5">
      <x:c r="A5" s="24" t="str">
        <x:v>Trichiurus japonicus</x:v>
      </x:c>
      <x:c r="B5" s="24" t="str">
        <x:v>Brachyura</x:v>
      </x:c>
      <x:c r="C5" s="28" t="n">
        <x:v>3.4</x:v>
      </x:c>
      <x:c r="D5" s="28" t="n">
        <x:v>0.6</x:v>
      </x:c>
      <x:c r="E5" s="28" t="n">
        <x:v>0.2</x:v>
      </x:c>
      <x:c r="F5" s="24" t="str"/>
      <x:c r="G5" s="28"/>
      <x:c r="H5" s="24" t="str">
        <x:v>+</x:v>
      </x:c>
      <x:c r="I5" s="24" t="str">
        <x:v>Kim et al. 2026, Table 1, pp. 5–6</x:v>
      </x:c>
      <x:c r="J5" s="24" t="str">
        <x:v>https://doi.org/10.1134/S0032945225601836</x:v>
      </x:c>
    </x:row>
    <x:row r="6">
      <x:c r="A6" s="24" t="str">
        <x:v>Trichiurus japonicus</x:v>
      </x:c>
      <x:c r="B6" s="24" t="str">
        <x:v>Amphipoda</x:v>
      </x:c>
      <x:c r="C6" s="28" t="n">
        <x:v>3.4</x:v>
      </x:c>
      <x:c r="D6" s="28" t="n">
        <x:v>1.3</x:v>
      </x:c>
      <x:c r="E6" s="28" t="n">
        <x:v>0.2</x:v>
      </x:c>
      <x:c r="F6" s="24" t="str"/>
      <x:c r="G6" s="28" t="n">
        <x:v>0.1</x:v>
      </x:c>
      <x:c r="H6" s="24" t="str"/>
      <x:c r="I6" s="24" t="str">
        <x:v>Kim et al. 2026, Table 1, pp. 5–6</x:v>
      </x:c>
      <x:c r="J6" s="24" t="str">
        <x:v>https://doi.org/10.1134/S0032945225601836</x:v>
      </x:c>
    </x:row>
    <x:row r="7">
      <x:c r="A7" s="24" t="str">
        <x:v>Trichiurus japonicus</x:v>
      </x:c>
      <x:c r="B7" s="24" t="str">
        <x:v>Isopoda</x:v>
      </x:c>
      <x:c r="C7" s="28" t="n">
        <x:v>0.7</x:v>
      </x:c>
      <x:c r="D7" s="28" t="n">
        <x:v>0.1</x:v>
      </x:c>
      <x:c r="E7" s="28"/>
      <x:c r="F7" s="24" t="str">
        <x:v>+</x:v>
      </x:c>
      <x:c r="G7" s="28"/>
      <x:c r="H7" s="24" t="str">
        <x:v>+</x:v>
      </x:c>
      <x:c r="I7" s="24" t="str">
        <x:v>Kim et al. 2026, Table 1, pp. 5–6</x:v>
      </x:c>
      <x:c r="J7" s="24" t="str">
        <x:v>https://doi.org/10.1134/S0032945225601836</x:v>
      </x:c>
    </x:row>
    <x:row r="8">
      <x:c r="A8" s="24" t="str">
        <x:v>Trichiurus japonicus</x:v>
      </x:c>
      <x:c r="B8" s="24" t="str">
        <x:v>Pisces</x:v>
      </x:c>
      <x:c r="C8" s="28" t="n">
        <x:v>53.8</x:v>
      </x:c>
      <x:c r="D8" s="28" t="n">
        <x:v>8.3</x:v>
      </x:c>
      <x:c r="E8" s="28" t="n">
        <x:v>84.3</x:v>
      </x:c>
      <x:c r="F8" s="24" t="str"/>
      <x:c r="G8" s="28" t="n">
        <x:v>49.6</x:v>
      </x:c>
      <x:c r="H8" s="24" t="str"/>
      <x:c r="I8" s="24" t="str">
        <x:v>Kim et al. 2026, Table 1, pp. 5–6</x:v>
      </x:c>
      <x:c r="J8" s="24" t="str">
        <x:v>https://doi.org/10.1134/S0032945225601836</x:v>
      </x:c>
    </x:row>
    <x:row r="9">
      <x:c r="A9" s="24" t="str">
        <x:v>Scomber japonicus</x:v>
      </x:c>
      <x:c r="B9" s="24" t="str">
        <x:v>Polychaeta</x:v>
      </x:c>
      <x:c r="C9" s="28" t="n">
        <x:v>0.7</x:v>
      </x:c>
      <x:c r="D9" s="28"/>
      <x:c r="E9" s="28"/>
      <x:c r="F9" s="24" t="str">
        <x:v>+</x:v>
      </x:c>
      <x:c r="G9" s="28"/>
      <x:c r="H9" s="24" t="str">
        <x:v>+</x:v>
      </x:c>
      <x:c r="I9" s="24" t="str">
        <x:v>Kim et al. 2026, Table 1, pp. 5–6</x:v>
      </x:c>
      <x:c r="J9" s="24" t="str">
        <x:v>https://doi.org/10.1134/S0032945225601836</x:v>
      </x:c>
    </x:row>
    <x:row r="10">
      <x:c r="A10" s="24" t="str">
        <x:v>Scomber japonicus</x:v>
      </x:c>
      <x:c r="B10" s="24" t="str">
        <x:v>Gastropoda</x:v>
      </x:c>
      <x:c r="C10" s="28" t="n">
        <x:v>18.8</x:v>
      </x:c>
      <x:c r="D10" s="28" t="n">
        <x:v>1.2</x:v>
      </x:c>
      <x:c r="E10" s="28" t="n">
        <x:v>0.9</x:v>
      </x:c>
      <x:c r="F10" s="24" t="str"/>
      <x:c r="G10" s="28" t="n">
        <x:v>0.5</x:v>
      </x:c>
      <x:c r="H10" s="24" t="str"/>
      <x:c r="I10" s="24" t="str">
        <x:v>Kim et al. 2026, Table 1, pp. 5–6</x:v>
      </x:c>
      <x:c r="J10" s="24" t="str">
        <x:v>https://doi.org/10.1134/S0032945225601836</x:v>
      </x:c>
    </x:row>
    <x:row r="11">
      <x:c r="A11" s="24" t="str">
        <x:v>Scomber japonicus</x:v>
      </x:c>
      <x:c r="B11" s="24" t="str">
        <x:v>Dentaliida</x:v>
      </x:c>
      <x:c r="C11" s="28" t="n">
        <x:v>0.7</x:v>
      </x:c>
      <x:c r="D11" s="28" t="n">
        <x:v>0.3</x:v>
      </x:c>
      <x:c r="E11" s="28" t="n">
        <x:v>0.3</x:v>
      </x:c>
      <x:c r="F11" s="24" t="str"/>
      <x:c r="G11" s="28"/>
      <x:c r="H11" s="24" t="str">
        <x:v>+</x:v>
      </x:c>
      <x:c r="I11" s="24" t="str">
        <x:v>Kim et al. 2026, Table 1, pp. 5–6</x:v>
      </x:c>
      <x:c r="J11" s="24" t="str">
        <x:v>https://doi.org/10.1134/S0032945225601836</x:v>
      </x:c>
    </x:row>
    <x:row r="12">
      <x:c r="A12" s="24" t="str">
        <x:v>Scomber japonicus</x:v>
      </x:c>
      <x:c r="B12" s="24" t="str">
        <x:v>Cephalopoda</x:v>
      </x:c>
      <x:c r="C12" s="28" t="n">
        <x:v>6.9</x:v>
      </x:c>
      <x:c r="D12" s="28" t="n">
        <x:v>0.2</x:v>
      </x:c>
      <x:c r="E12" s="28" t="n">
        <x:v>1.6</x:v>
      </x:c>
      <x:c r="F12" s="24" t="str"/>
      <x:c r="G12" s="28" t="n">
        <x:v>0.1</x:v>
      </x:c>
      <x:c r="H12" s="24" t="str"/>
      <x:c r="I12" s="24" t="str">
        <x:v>Kim et al. 2026, Table 1, pp. 5–6</x:v>
      </x:c>
      <x:c r="J12" s="24" t="str">
        <x:v>https://doi.org/10.1134/S0032945225601836</x:v>
      </x:c>
    </x:row>
    <x:row r="13">
      <x:c r="A13" s="24" t="str">
        <x:v>Scomber japonicus</x:v>
      </x:c>
      <x:c r="B13" s="24" t="str">
        <x:v>Copepoda</x:v>
      </x:c>
      <x:c r="C13" s="28" t="n">
        <x:v>1.4</x:v>
      </x:c>
      <x:c r="D13" s="28"/>
      <x:c r="E13" s="28"/>
      <x:c r="F13" s="24" t="str">
        <x:v>+</x:v>
      </x:c>
      <x:c r="G13" s="28"/>
      <x:c r="H13" s="24" t="str">
        <x:v>+</x:v>
      </x:c>
      <x:c r="I13" s="24" t="str">
        <x:v>Kim et al. 2026, Table 1, pp. 5–6</x:v>
      </x:c>
      <x:c r="J13" s="24" t="str">
        <x:v>https://doi.org/10.1134/S0032945225601836</x:v>
      </x:c>
    </x:row>
    <x:row r="14">
      <x:c r="A14" s="24" t="str">
        <x:v>Scomber japonicus</x:v>
      </x:c>
      <x:c r="B14" s="24" t="str">
        <x:v>Euphausiacea</x:v>
      </x:c>
      <x:c r="C14" s="28" t="n">
        <x:v>58.3</x:v>
      </x:c>
      <x:c r="D14" s="28" t="n">
        <x:v>76.3</x:v>
      </x:c>
      <x:c r="E14" s="28" t="n">
        <x:v>54.9</x:v>
      </x:c>
      <x:c r="F14" s="24" t="str"/>
      <x:c r="G14" s="28" t="n">
        <x:v>84.9</x:v>
      </x:c>
      <x:c r="H14" s="24" t="str"/>
      <x:c r="I14" s="24" t="str">
        <x:v>Kim et al. 2026, Table 1, pp. 5–6</x:v>
      </x:c>
      <x:c r="J14" s="24" t="str">
        <x:v>https://doi.org/10.1134/S0032945225601836</x:v>
      </x:c>
    </x:row>
    <x:row r="15">
      <x:c r="A15" s="24" t="str">
        <x:v>Scomber japonicus</x:v>
      </x:c>
      <x:c r="B15" s="24" t="str">
        <x:v>Stomatopoda</x:v>
      </x:c>
      <x:c r="C15" s="28" t="n">
        <x:v>2.1</x:v>
      </x:c>
      <x:c r="D15" s="28" t="n">
        <x:v>0.1</x:v>
      </x:c>
      <x:c r="E15" s="28" t="n">
        <x:v>0.1</x:v>
      </x:c>
      <x:c r="F15" s="24" t="str"/>
      <x:c r="G15" s="28"/>
      <x:c r="H15" s="24" t="str">
        <x:v>+</x:v>
      </x:c>
      <x:c r="I15" s="24" t="str">
        <x:v>Kim et al. 2026, Table 1, pp. 5–6</x:v>
      </x:c>
      <x:c r="J15" s="24" t="str">
        <x:v>https://doi.org/10.1134/S0032945225601836</x:v>
      </x:c>
    </x:row>
    <x:row r="16">
      <x:c r="A16" s="24" t="str">
        <x:v>Scomber japonicus</x:v>
      </x:c>
      <x:c r="B16" s="24" t="str">
        <x:v>Macrura</x:v>
      </x:c>
      <x:c r="C16" s="28" t="n">
        <x:v>10.4</x:v>
      </x:c>
      <x:c r="D16" s="28" t="n">
        <x:v>1.2</x:v>
      </x:c>
      <x:c r="E16" s="28" t="n">
        <x:v>1.7</x:v>
      </x:c>
      <x:c r="F16" s="24" t="str"/>
      <x:c r="G16" s="28" t="n">
        <x:v>0.3</x:v>
      </x:c>
      <x:c r="H16" s="24" t="str"/>
      <x:c r="I16" s="24" t="str">
        <x:v>Kim et al. 2026, Table 1, pp. 5–6</x:v>
      </x:c>
      <x:c r="J16" s="24" t="str">
        <x:v>https://doi.org/10.1134/S0032945225601836</x:v>
      </x:c>
    </x:row>
    <x:row r="17">
      <x:c r="A17" s="24" t="str">
        <x:v>Scomber japonicus</x:v>
      </x:c>
      <x:c r="B17" s="24" t="str">
        <x:v>Anomura</x:v>
      </x:c>
      <x:c r="C17" s="28" t="n">
        <x:v>9</x:v>
      </x:c>
      <x:c r="D17" s="28" t="n">
        <x:v>13.9</x:v>
      </x:c>
      <x:c r="E17" s="28" t="n">
        <x:v>14</x:v>
      </x:c>
      <x:c r="F17" s="24" t="str"/>
      <x:c r="G17" s="28" t="n">
        <x:v>2.8</x:v>
      </x:c>
      <x:c r="H17" s="24" t="str"/>
      <x:c r="I17" s="24" t="str">
        <x:v>Kim et al. 2026, Table 1, pp. 5–6</x:v>
      </x:c>
      <x:c r="J17" s="24" t="str">
        <x:v>https://doi.org/10.1134/S0032945225601836</x:v>
      </x:c>
    </x:row>
    <x:row r="18">
      <x:c r="A18" s="24" t="str">
        <x:v>Scomber japonicus</x:v>
      </x:c>
      <x:c r="B18" s="24" t="str">
        <x:v>Brachyura</x:v>
      </x:c>
      <x:c r="C18" s="28" t="n">
        <x:v>0.7</x:v>
      </x:c>
      <x:c r="D18" s="28"/>
      <x:c r="E18" s="28"/>
      <x:c r="F18" s="24" t="str">
        <x:v>+</x:v>
      </x:c>
      <x:c r="G18" s="28"/>
      <x:c r="H18" s="24" t="str">
        <x:v>+</x:v>
      </x:c>
      <x:c r="I18" s="24" t="str">
        <x:v>Kim et al. 2026, Table 1, pp. 5–6</x:v>
      </x:c>
      <x:c r="J18" s="24" t="str">
        <x:v>https://doi.org/10.1134/S0032945225601836</x:v>
      </x:c>
    </x:row>
    <x:row r="19">
      <x:c r="A19" s="24" t="str">
        <x:v>Scomber japonicus</x:v>
      </x:c>
      <x:c r="B19" s="24" t="str">
        <x:v>Amphipoda</x:v>
      </x:c>
      <x:c r="C19" s="28" t="n">
        <x:v>16</x:v>
      </x:c>
      <x:c r="D19" s="28" t="n">
        <x:v>5.1</x:v>
      </x:c>
      <x:c r="E19" s="28" t="n">
        <x:v>0.5</x:v>
      </x:c>
      <x:c r="F19" s="24" t="str"/>
      <x:c r="G19" s="28" t="n">
        <x:v>1</x:v>
      </x:c>
      <x:c r="H19" s="24" t="str"/>
      <x:c r="I19" s="24" t="str">
        <x:v>Kim et al. 2026, Table 1, pp. 5–6</x:v>
      </x:c>
      <x:c r="J19" s="24" t="str">
        <x:v>https://doi.org/10.1134/S0032945225601836</x:v>
      </x:c>
    </x:row>
    <x:row r="20">
      <x:c r="A20" s="24" t="str">
        <x:v>Scomber japonicus</x:v>
      </x:c>
      <x:c r="B20" s="24" t="str">
        <x:v>Ascidiacea</x:v>
      </x:c>
      <x:c r="C20" s="28" t="n">
        <x:v>2.1</x:v>
      </x:c>
      <x:c r="D20" s="28" t="n">
        <x:v>0.1</x:v>
      </x:c>
      <x:c r="E20" s="28"/>
      <x:c r="F20" s="24" t="str">
        <x:v>+</x:v>
      </x:c>
      <x:c r="G20" s="28"/>
      <x:c r="H20" s="24" t="str">
        <x:v>+</x:v>
      </x:c>
      <x:c r="I20" s="24" t="str">
        <x:v>Kim et al. 2026, Table 1, pp. 5–6</x:v>
      </x:c>
      <x:c r="J20" s="24" t="str">
        <x:v>https://doi.org/10.1134/S0032945225601836</x:v>
      </x:c>
    </x:row>
    <x:row r="21">
      <x:c r="A21" s="24" t="str">
        <x:v>Scomber japonicus</x:v>
      </x:c>
      <x:c r="B21" s="24" t="str">
        <x:v>Pisces</x:v>
      </x:c>
      <x:c r="C21" s="28" t="n">
        <x:v>34</x:v>
      </x:c>
      <x:c r="D21" s="28" t="n">
        <x:v>1.6</x:v>
      </x:c>
      <x:c r="E21" s="28" t="n">
        <x:v>25.9</x:v>
      </x:c>
      <x:c r="F21" s="24" t="str"/>
      <x:c r="G21" s="28" t="n">
        <x:v>10.4</x:v>
      </x:c>
      <x:c r="H21" s="24" t="str"/>
      <x:c r="I21" s="24" t="str">
        <x:v>Kim et al. 2026, Table 1, pp. 5–6</x:v>
      </x:c>
      <x:c r="J21" s="24" t="str">
        <x:v>https://doi.org/10.1134/S0032945225601836</x:v>
      </x:c>
    </x:row>
    <x:row r="22">
      <x:c r="A22" s="24" t="str">
        <x:v>Trachurus japonicus</x:v>
      </x:c>
      <x:c r="B22" s="24" t="str">
        <x:v>Polychaeta</x:v>
      </x:c>
      <x:c r="C22" s="28" t="n">
        <x:v>4.9</x:v>
      </x:c>
      <x:c r="D22" s="28" t="n">
        <x:v>0.5</x:v>
      </x:c>
      <x:c r="E22" s="28" t="n">
        <x:v>5.8</x:v>
      </x:c>
      <x:c r="F22" s="24" t="str"/>
      <x:c r="G22" s="28" t="n">
        <x:v>0.7</x:v>
      </x:c>
      <x:c r="H22" s="24" t="str"/>
      <x:c r="I22" s="24" t="str">
        <x:v>Kim et al. 2026, Table 1, pp. 5–6</x:v>
      </x:c>
      <x:c r="J22" s="24" t="str">
        <x:v>https://doi.org/10.1134/S0032945225601836</x:v>
      </x:c>
    </x:row>
    <x:row r="23">
      <x:c r="A23" s="24" t="str">
        <x:v>Trachurus japonicus</x:v>
      </x:c>
      <x:c r="B23" s="24" t="str">
        <x:v>Gastropoda</x:v>
      </x:c>
      <x:c r="C23" s="28" t="n">
        <x:v>9</x:v>
      </x:c>
      <x:c r="D23" s="28" t="n">
        <x:v>2.3</x:v>
      </x:c>
      <x:c r="E23" s="28" t="n">
        <x:v>5.2</x:v>
      </x:c>
      <x:c r="F23" s="24" t="str"/>
      <x:c r="G23" s="28" t="n">
        <x:v>1.5</x:v>
      </x:c>
      <x:c r="H23" s="24" t="str"/>
      <x:c r="I23" s="24" t="str">
        <x:v>Kim et al. 2026, Table 1, pp. 5–6</x:v>
      </x:c>
      <x:c r="J23" s="24" t="str">
        <x:v>https://doi.org/10.1134/S0032945225601836</x:v>
      </x:c>
    </x:row>
    <x:row r="24">
      <x:c r="A24" s="24" t="str">
        <x:v>Trachurus japonicus</x:v>
      </x:c>
      <x:c r="B24" s="24" t="str">
        <x:v>Cephalopoda</x:v>
      </x:c>
      <x:c r="C24" s="28" t="n">
        <x:v>2.5</x:v>
      </x:c>
      <x:c r="D24" s="28" t="n">
        <x:v>0.3</x:v>
      </x:c>
      <x:c r="E24" s="28" t="n">
        <x:v>1.9</x:v>
      </x:c>
      <x:c r="F24" s="24" t="str"/>
      <x:c r="G24" s="28" t="n">
        <x:v>0.1</x:v>
      </x:c>
      <x:c r="H24" s="24" t="str"/>
      <x:c r="I24" s="24" t="str">
        <x:v>Kim et al. 2026, Table 1, pp. 5–6</x:v>
      </x:c>
      <x:c r="J24" s="24" t="str">
        <x:v>https://doi.org/10.1134/S0032945225601836</x:v>
      </x:c>
    </x:row>
    <x:row r="25">
      <x:c r="A25" s="24" t="str">
        <x:v>Trachurus japonicus</x:v>
      </x:c>
      <x:c r="B25" s="24" t="str">
        <x:v>Copepoda</x:v>
      </x:c>
      <x:c r="C25" s="28" t="n">
        <x:v>4.9</x:v>
      </x:c>
      <x:c r="D25" s="28" t="n">
        <x:v>19.2</x:v>
      </x:c>
      <x:c r="E25" s="28"/>
      <x:c r="F25" s="24" t="str">
        <x:v>+</x:v>
      </x:c>
      <x:c r="G25" s="28" t="n">
        <x:v>2</x:v>
      </x:c>
      <x:c r="H25" s="24" t="str"/>
      <x:c r="I25" s="24" t="str">
        <x:v>Kim et al. 2026, Table 1, pp. 5–6</x:v>
      </x:c>
      <x:c r="J25" s="24" t="str">
        <x:v>https://doi.org/10.1134/S0032945225601836</x:v>
      </x:c>
    </x:row>
    <x:row r="26">
      <x:c r="A26" s="24" t="str">
        <x:v>Trachurus japonicus</x:v>
      </x:c>
      <x:c r="B26" s="24" t="str">
        <x:v>Mysidacea</x:v>
      </x:c>
      <x:c r="C26" s="28" t="n">
        <x:v>3.3</x:v>
      </x:c>
      <x:c r="D26" s="28" t="n">
        <x:v>9.3</x:v>
      </x:c>
      <x:c r="E26" s="28" t="n">
        <x:v>4.8</x:v>
      </x:c>
      <x:c r="F26" s="24" t="str"/>
      <x:c r="G26" s="28" t="n">
        <x:v>1</x:v>
      </x:c>
      <x:c r="H26" s="24" t="str"/>
      <x:c r="I26" s="24" t="str">
        <x:v>Kim et al. 2026, Table 1, pp. 5–6</x:v>
      </x:c>
      <x:c r="J26" s="24" t="str">
        <x:v>https://doi.org/10.1134/S0032945225601836</x:v>
      </x:c>
    </x:row>
    <x:row r="27">
      <x:c r="A27" s="24" t="str">
        <x:v>Trachurus japonicus</x:v>
      </x:c>
      <x:c r="B27" s="24" t="str">
        <x:v>Euphausiacea</x:v>
      </x:c>
      <x:c r="C27" s="28" t="n">
        <x:v>11.5</x:v>
      </x:c>
      <x:c r="D27" s="28" t="n">
        <x:v>9.4</x:v>
      </x:c>
      <x:c r="E27" s="28" t="n">
        <x:v>4.4</x:v>
      </x:c>
      <x:c r="F27" s="24" t="str"/>
      <x:c r="G27" s="28" t="n">
        <x:v>3.4</x:v>
      </x:c>
      <x:c r="H27" s="24" t="str"/>
      <x:c r="I27" s="24" t="str">
        <x:v>Kim et al. 2026, Table 1, pp. 5–6</x:v>
      </x:c>
      <x:c r="J27" s="24" t="str">
        <x:v>https://doi.org/10.1134/S0032945225601836</x:v>
      </x:c>
    </x:row>
    <x:row r="28">
      <x:c r="A28" s="24" t="str">
        <x:v>Trachurus japonicus</x:v>
      </x:c>
      <x:c r="B28" s="24" t="str">
        <x:v>Stomatopoda</x:v>
      </x:c>
      <x:c r="C28" s="28" t="n">
        <x:v>0.8</x:v>
      </x:c>
      <x:c r="D28" s="28" t="n">
        <x:v>0.1</x:v>
      </x:c>
      <x:c r="E28" s="28"/>
      <x:c r="F28" s="24" t="str">
        <x:v>+</x:v>
      </x:c>
      <x:c r="G28" s="28"/>
      <x:c r="H28" s="24" t="str">
        <x:v>+</x:v>
      </x:c>
      <x:c r="I28" s="24" t="str">
        <x:v>Kim et al. 2026, Table 1, pp. 5–6</x:v>
      </x:c>
      <x:c r="J28" s="24" t="str">
        <x:v>https://doi.org/10.1134/S0032945225601836</x:v>
      </x:c>
    </x:row>
    <x:row r="29">
      <x:c r="A29" s="24" t="str">
        <x:v>Trachurus japonicus</x:v>
      </x:c>
      <x:c r="B29" s="24" t="str">
        <x:v>Macrura</x:v>
      </x:c>
      <x:c r="C29" s="28" t="n">
        <x:v>17.2</x:v>
      </x:c>
      <x:c r="D29" s="28" t="n">
        <x:v>3.7</x:v>
      </x:c>
      <x:c r="E29" s="28" t="n">
        <x:v>19.8</x:v>
      </x:c>
      <x:c r="F29" s="24" t="str"/>
      <x:c r="G29" s="28" t="n">
        <x:v>8.8</x:v>
      </x:c>
      <x:c r="H29" s="24" t="str"/>
      <x:c r="I29" s="24" t="str">
        <x:v>Kim et al. 2026, Table 1, pp. 5–6</x:v>
      </x:c>
      <x:c r="J29" s="24" t="str">
        <x:v>https://doi.org/10.1134/S0032945225601836</x:v>
      </x:c>
    </x:row>
    <x:row r="30">
      <x:c r="A30" s="24" t="str">
        <x:v>Trachurus japonicus</x:v>
      </x:c>
      <x:c r="B30" s="24" t="str">
        <x:v>Anomura</x:v>
      </x:c>
      <x:c r="C30" s="28" t="n">
        <x:v>1.6</x:v>
      </x:c>
      <x:c r="D30" s="28" t="n">
        <x:v>0.2</x:v>
      </x:c>
      <x:c r="E30" s="28" t="n">
        <x:v>0.1</x:v>
      </x:c>
      <x:c r="F30" s="24" t="str"/>
      <x:c r="G30" s="28"/>
      <x:c r="H30" s="24" t="str">
        <x:v>+</x:v>
      </x:c>
      <x:c r="I30" s="24" t="str">
        <x:v>Kim et al. 2026, Table 1, pp. 5–6</x:v>
      </x:c>
      <x:c r="J30" s="24" t="str">
        <x:v>https://doi.org/10.1134/S0032945225601836</x:v>
      </x:c>
    </x:row>
    <x:row r="31">
      <x:c r="A31" s="24" t="str">
        <x:v>Trachurus japonicus</x:v>
      </x:c>
      <x:c r="B31" s="24" t="str">
        <x:v>Brachyura</x:v>
      </x:c>
      <x:c r="C31" s="28" t="n">
        <x:v>3.3</x:v>
      </x:c>
      <x:c r="D31" s="28" t="n">
        <x:v>0.3</x:v>
      </x:c>
      <x:c r="E31" s="28" t="n">
        <x:v>0.3</x:v>
      </x:c>
      <x:c r="F31" s="24" t="str"/>
      <x:c r="G31" s="28"/>
      <x:c r="H31" s="24" t="str">
        <x:v>+</x:v>
      </x:c>
      <x:c r="I31" s="24" t="str">
        <x:v>Kim et al. 2026, Table 1, pp. 5–6</x:v>
      </x:c>
      <x:c r="J31" s="24" t="str">
        <x:v>https://doi.org/10.1134/S0032945225601836</x:v>
      </x:c>
    </x:row>
    <x:row r="32">
      <x:c r="A32" s="24" t="str">
        <x:v>Trachurus japonicus</x:v>
      </x:c>
      <x:c r="B32" s="24" t="str">
        <x:v>Amphipoda</x:v>
      </x:c>
      <x:c r="C32" s="28" t="n">
        <x:v>22.1</x:v>
      </x:c>
      <x:c r="D32" s="28" t="n">
        <x:v>48.1</x:v>
      </x:c>
      <x:c r="E32" s="28" t="n">
        <x:v>8.3</x:v>
      </x:c>
      <x:c r="F32" s="24" t="str"/>
      <x:c r="G32" s="28" t="n">
        <x:v>26.9</x:v>
      </x:c>
      <x:c r="H32" s="24" t="str"/>
      <x:c r="I32" s="24" t="str">
        <x:v>Kim et al. 2026, Table 1, pp. 5–6</x:v>
      </x:c>
      <x:c r="J32" s="24" t="str">
        <x:v>https://doi.org/10.1134/S0032945225601836</x:v>
      </x:c>
    </x:row>
    <x:row r="33">
      <x:c r="A33" s="24" t="str">
        <x:v>Trachurus japonicus</x:v>
      </x:c>
      <x:c r="B33" s="24" t="str">
        <x:v>Pisces</x:v>
      </x:c>
      <x:c r="C33" s="28" t="n">
        <x:v>45.9</x:v>
      </x:c>
      <x:c r="D33" s="28" t="n">
        <x:v>6.7</x:v>
      </x:c>
      <x:c r="E33" s="28" t="n">
        <x:v>49.4</x:v>
      </x:c>
      <x:c r="F33" s="24" t="str"/>
      <x:c r="G33" s="28" t="n">
        <x:v>55.6</x:v>
      </x:c>
      <x:c r="H33" s="24" t="str"/>
      <x:c r="I33" s="24" t="str">
        <x:v>Kim et al. 2026, Table 1, pp. 5–6</x:v>
      </x:c>
      <x:c r="J33" s="24" t="str">
        <x:v>https://doi.org/10.1134/S0032945225601836</x:v>
      </x:c>
    </x:row>
  </x:sheetData>
  <x:pageMargins left="0.7" right="0.7" top="0.75" bottom="0.75" header="0.3" footer="0.3"/>
  <x:tableParts count="1">
    <x:tablePart xmlns:r="http://schemas.openxmlformats.org/officeDocument/2006/relationships" r:id="R2842db5470714a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7" max="7" width="42" hidden="0" customWidth="1"/>
    <x:col min="8" max="8" width="55" hidden="0" customWidth="1"/>
    <x:col min="9" max="9" width="70" hidden="0" customWidth="1"/>
  </x:cols>
  <x:sheetData>
    <x:row r="1">
      <x:c r="A1" s="12" t="str">
        <x:v>Prey_group</x:v>
      </x:c>
      <x:c r="B1" s="12" t="str">
        <x:v>PECC_match_level</x:v>
      </x:c>
      <x:c r="C1" s="12" t="str">
        <x:v>Matched_taxon_or_group</x:v>
      </x:c>
      <x:c r="D1" s="12" t="str">
        <x:v>ED_kJ_g_WW</x:v>
      </x:c>
      <x:c r="E1" s="12" t="str">
        <x:v>ED_min</x:v>
      </x:c>
      <x:c r="F1" s="12" t="str">
        <x:v>ED_max</x:v>
      </x:c>
      <x:c r="G1" s="12" t="str">
        <x:v>ED_source</x:v>
      </x:c>
      <x:c r="H1" s="12" t="str">
        <x:v>ED_source_URL</x:v>
      </x:c>
      <x:c r="I1" s="12" t="str">
        <x:v>Mapping_rationale</x:v>
      </x:c>
    </x:row>
    <x:row r="2">
      <x:c r="A2" s="24" t="str">
        <x:v>Polychaeta</x:v>
      </x:c>
      <x:c r="B2" s="24" t="str">
        <x:v>Energy proxy group</x:v>
      </x:c>
      <x:c r="C2" s="24" t="str">
        <x:v>Other benthic polychaetes</x:v>
      </x:c>
      <x:c r="D2" s="32" t="n">
        <x:v>2.045</x:v>
      </x:c>
      <x:c r="E2" s="32" t="n">
        <x:v>0.5</x:v>
      </x:c>
      <x:c r="F2" s="32" t="n">
        <x:v>3.06</x:v>
      </x:c>
      <x:c r="G2" s="24" t="str">
        <x:v>Nitschke et al. 2026; Lawson et al. 2018</x:v>
      </x:c>
      <x:c r="H2" s="24" t="str">
        <x:v>https://doi.org/10.1007/s10750-025-05956-5 ; https://doi.org/10.1038/s41598-018-28479-7</x:v>
      </x:c>
      <x:c r="I2" s="24" t="str">
        <x:v>Polychaeta is retained at group level; PECC polychaete proxy used.</x:v>
      </x:c>
    </x:row>
    <x:row r="3">
      <x:c r="A3" s="24" t="str">
        <x:v>Gastropoda</x:v>
      </x:c>
      <x:c r="B3" s="24" t="str">
        <x:v>Broad taxonomic group</x:v>
      </x:c>
      <x:c r="C3" s="24" t="str">
        <x:v>Mollusca (non-cephalopods)</x:v>
      </x:c>
      <x:c r="D3" s="32" t="n">
        <x:v>2.14</x:v>
      </x:c>
      <x:c r="E3" s="32" t="n">
        <x:v>1.07</x:v>
      </x:c>
      <x:c r="F3" s="32" t="n">
        <x:v>3.69</x:v>
      </x:c>
      <x:c r="G3" s="24" t="str">
        <x:v>Nitschke et al. 2026; Cauffopé &amp; Heymans 2005</x:v>
      </x:c>
      <x:c r="H3" s="24" t="str">
        <x:v>https://doi.org/10.1007/s10750-025-05956-5 ; https://www.fisheries.ubc.ca/webfm_send/122</x:v>
      </x:c>
      <x:c r="I3" s="24" t="str">
        <x:v>Broad Mollusca used because the published Gastropoda include pelagic Cavoliniidae as well as unidentified gastropods; the benthic-gastropod proxy would be inappropriate for the aggregate group.</x:v>
      </x:c>
    </x:row>
    <x:row r="4">
      <x:c r="A4" s="24" t="str">
        <x:v>Dentaliida</x:v>
      </x:c>
      <x:c r="B4" s="24" t="str">
        <x:v>Broad taxonomic group</x:v>
      </x:c>
      <x:c r="C4" s="24" t="str">
        <x:v>Mollusca (non-cephalopods)</x:v>
      </x:c>
      <x:c r="D4" s="32" t="n">
        <x:v>2.14</x:v>
      </x:c>
      <x:c r="E4" s="32" t="n">
        <x:v>1.07</x:v>
      </x:c>
      <x:c r="F4" s="32" t="n">
        <x:v>3.69</x:v>
      </x:c>
      <x:c r="G4" s="24" t="str">
        <x:v>Nitschke et al. 2026; Cauffopé &amp; Heymans 2005</x:v>
      </x:c>
      <x:c r="H4" s="24" t="str">
        <x:v>https://doi.org/10.1007/s10750-025-05956-5 ; https://www.fisheries.ubc.ca/webfm_send/122</x:v>
      </x:c>
      <x:c r="I4" s="24" t="str">
        <x:v>No taxon-specific/proxy ED in PECC; broad non-cephalopod Mollusca used.</x:v>
      </x:c>
    </x:row>
    <x:row r="5">
      <x:c r="A5" s="24" t="str">
        <x:v>Cephalopoda</x:v>
      </x:c>
      <x:c r="B5" s="24" t="str">
        <x:v>Broad taxonomic group</x:v>
      </x:c>
      <x:c r="C5" s="24" t="str">
        <x:v>Cephalopoda</x:v>
      </x:c>
      <x:c r="D5" s="32" t="n">
        <x:v>4.7</x:v>
      </x:c>
      <x:c r="E5" s="32" t="n">
        <x:v>3.6</x:v>
      </x:c>
      <x:c r="F5" s="32" t="n">
        <x:v>5.59</x:v>
      </x:c>
      <x:c r="G5" s="24" t="str">
        <x:v>Spitz et al. 2010; Price et al. 2024; Wuenschel et al. 2024; Cauffopé &amp; Heymans 2005</x:v>
      </x:c>
      <x:c r="H5" s="24" t="str">
        <x:v>https://doi.org/10.1093/icesjms/fsq008 ; https://doi.org/10.3389/fmars.2023.1345525 ; https://doi.org/10.1002/mcf2.10287</x:v>
      </x:c>
      <x:c r="I5" s="24" t="str">
        <x:v>Aggregate Cephalopoda %W combines identified and unidentified prey; broad cephalopod ED used.</x:v>
      </x:c>
    </x:row>
    <x:row r="6">
      <x:c r="A6" s="24" t="str">
        <x:v>Copepoda</x:v>
      </x:c>
      <x:c r="B6" s="24" t="str">
        <x:v>Broad taxonomic group</x:v>
      </x:c>
      <x:c r="C6" s="24" t="str">
        <x:v>Crustacea</x:v>
      </x:c>
      <x:c r="D6" s="32" t="n">
        <x:v>3.9</x:v>
      </x:c>
      <x:c r="E6" s="32" t="n">
        <x:v>1.75</x:v>
      </x:c>
      <x:c r="F6" s="32" t="n">
        <x:v>6.9</x:v>
      </x:c>
      <x:c r="G6" s="24" t="str">
        <x:v>Spitz et al. 2010; Nitschke et al. 2026; Lawson et al. 2018; Cauffopé &amp; Heymans 2005</x:v>
      </x:c>
      <x:c r="H6" s="24" t="str">
        <x:v>https://doi.org/10.1093/icesjms/fsq008 ; https://doi.org/10.1007/s10750-025-05956-5 ; https://doi.org/10.1038/s41598-018-28479-7</x:v>
      </x:c>
      <x:c r="I6" s="24" t="str">
        <x:v>No dedicated copepod ED proxy in PECC v1.0.0; broad Crustacea used.</x:v>
      </x:c>
    </x:row>
    <x:row r="7">
      <x:c r="A7" s="24" t="str">
        <x:v>Mysidacea</x:v>
      </x:c>
      <x:c r="B7" s="24" t="str">
        <x:v>Energy proxy group</x:v>
      </x:c>
      <x:c r="C7" s="24" t="str">
        <x:v>Benthopelagic mysids</x:v>
      </x:c>
      <x:c r="D7" s="32" t="n">
        <x:v>3.515</x:v>
      </x:c>
      <x:c r="E7" s="32" t="n">
        <x:v>3.26</x:v>
      </x:c>
      <x:c r="F7" s="32" t="n">
        <x:v>3.77</x:v>
      </x:c>
      <x:c r="G7" s="24" t="str">
        <x:v>Lawson et al. 2018; Cauffopé &amp; Heymans 2005</x:v>
      </x:c>
      <x:c r="H7" s="24" t="str">
        <x:v>https://doi.org/10.1038/s41598-018-28479-7 ; https://www.fisheries.ubc.ca/webfm_send/122</x:v>
      </x:c>
      <x:c r="I7" s="24" t="str">
        <x:v>Mysid group maps directly to the PECC mysid proxy.</x:v>
      </x:c>
    </x:row>
    <x:row r="8">
      <x:c r="A8" s="24" t="str">
        <x:v>Euphausiacea</x:v>
      </x:c>
      <x:c r="B8" s="24" t="str">
        <x:v>Energy proxy group</x:v>
      </x:c>
      <x:c r="C8" s="24" t="str">
        <x:v>Pelagic planktonic euphausiids</x:v>
      </x:c>
      <x:c r="D8" s="32" t="n">
        <x:v>4.22</x:v>
      </x:c>
      <x:c r="E8" s="32" t="n">
        <x:v>4.22</x:v>
      </x:c>
      <x:c r="F8" s="32" t="n">
        <x:v>4.22</x:v>
      </x:c>
      <x:c r="G8" s="24" t="str">
        <x:v>Price et al. 2024</x:v>
      </x:c>
      <x:c r="H8" s="24" t="str">
        <x:v>https://doi.org/10.3389/fmars.2023.1345525</x:v>
      </x:c>
      <x:c r="I8" s="24" t="str">
        <x:v>Euphausiacea maps directly to the PECC euphausiid proxy.</x:v>
      </x:c>
    </x:row>
    <x:row r="9">
      <x:c r="A9" s="24" t="str">
        <x:v>Stomatopoda</x:v>
      </x:c>
      <x:c r="B9" s="24" t="str">
        <x:v>Broad taxonomic group</x:v>
      </x:c>
      <x:c r="C9" s="24" t="str">
        <x:v>Crustacea</x:v>
      </x:c>
      <x:c r="D9" s="32" t="n">
        <x:v>3.9</x:v>
      </x:c>
      <x:c r="E9" s="32" t="n">
        <x:v>1.75</x:v>
      </x:c>
      <x:c r="F9" s="32" t="n">
        <x:v>6.9</x:v>
      </x:c>
      <x:c r="G9" s="24" t="str">
        <x:v>Spitz et al. 2010; Nitschke et al. 2026; Lawson et al. 2018; Cauffopé &amp; Heymans 2005</x:v>
      </x:c>
      <x:c r="H9" s="24" t="str">
        <x:v>https://doi.org/10.1093/icesjms/fsq008 ; https://doi.org/10.1007/s10750-025-05956-5 ; https://doi.org/10.1038/s41598-018-28479-7</x:v>
      </x:c>
      <x:c r="I9" s="24" t="str">
        <x:v>Stomatopods are not Decapoda; broad Crustacea used.</x:v>
      </x:c>
    </x:row>
    <x:row r="10">
      <x:c r="A10" s="24" t="str">
        <x:v>Macrura</x:v>
      </x:c>
      <x:c r="B10" s="24" t="str">
        <x:v>Energy proxy group</x:v>
      </x:c>
      <x:c r="C10" s="24" t="str">
        <x:v>Decapods (ecology unspecified)</x:v>
      </x:c>
      <x:c r="D10" s="32" t="n">
        <x:v>3.97</x:v>
      </x:c>
      <x:c r="E10" s="32" t="n">
        <x:v>3.4</x:v>
      </x:c>
      <x:c r="F10" s="32" t="n">
        <x:v>5.3</x:v>
      </x:c>
      <x:c r="G10" s="24" t="str">
        <x:v>Spitz et al. 2010; Lawson et al. 2018</x:v>
      </x:c>
      <x:c r="H10" s="24" t="str">
        <x:v>https://doi.org/10.1093/icesjms/fsq008 ; https://doi.org/10.1038/s41598-018-28479-7</x:v>
      </x:c>
      <x:c r="I10" s="24" t="str">
        <x:v>Legacy Macrura category treated as decapod shrimps/prawns with ecology unspecified.</x:v>
      </x:c>
    </x:row>
    <x:row r="11">
      <x:c r="A11" s="24" t="str">
        <x:v>Anomura</x:v>
      </x:c>
      <x:c r="B11" s="24" t="str">
        <x:v>Energy proxy group</x:v>
      </x:c>
      <x:c r="C11" s="24" t="str">
        <x:v>Benthic decapods</x:v>
      </x:c>
      <x:c r="D11" s="32" t="n">
        <x:v>3.07</x:v>
      </x:c>
      <x:c r="E11" s="32" t="n">
        <x:v>1.75</x:v>
      </x:c>
      <x:c r="F11" s="32" t="n">
        <x:v>5.16</x:v>
      </x:c>
      <x:c r="G11" s="24" t="str">
        <x:v>Nitschke et al. 2026; Lawson et al. 2018</x:v>
      </x:c>
      <x:c r="H11" s="24" t="str">
        <x:v>https://doi.org/10.1007/s10750-025-05956-5 ; https://doi.org/10.1038/s41598-018-28479-7</x:v>
      </x:c>
      <x:c r="I11" s="24" t="str">
        <x:v>Anomuran prey in Table 1 are Galatheidae/unidentified Anomura; benthic-decappod proxy used.</x:v>
      </x:c>
    </x:row>
    <x:row r="12">
      <x:c r="A12" s="24" t="str">
        <x:v>Brachyura</x:v>
      </x:c>
      <x:c r="B12" s="24" t="str">
        <x:v>Energy proxy group</x:v>
      </x:c>
      <x:c r="C12" s="24" t="str">
        <x:v>Benthic decapods</x:v>
      </x:c>
      <x:c r="D12" s="32" t="n">
        <x:v>3.07</x:v>
      </x:c>
      <x:c r="E12" s="32" t="n">
        <x:v>1.75</x:v>
      </x:c>
      <x:c r="F12" s="32" t="n">
        <x:v>5.16</x:v>
      </x:c>
      <x:c r="G12" s="24" t="str">
        <x:v>Nitschke et al. 2026; Lawson et al. 2018</x:v>
      </x:c>
      <x:c r="H12" s="24" t="str">
        <x:v>https://doi.org/10.1007/s10750-025-05956-5 ; https://doi.org/10.1038/s41598-018-28479-7</x:v>
      </x:c>
      <x:c r="I12" s="24" t="str">
        <x:v>Crab prey mapped to benthic decapod proxy.</x:v>
      </x:c>
    </x:row>
    <x:row r="13">
      <x:c r="A13" s="24" t="str">
        <x:v>Amphipoda</x:v>
      </x:c>
      <x:c r="B13" s="24" t="str">
        <x:v>Energy proxy group</x:v>
      </x:c>
      <x:c r="C13" s="24" t="str">
        <x:v>Benthopelagic amphipods</x:v>
      </x:c>
      <x:c r="D13" s="32" t="n">
        <x:v>1.92</x:v>
      </x:c>
      <x:c r="E13" s="32" t="n">
        <x:v>1.22</x:v>
      </x:c>
      <x:c r="F13" s="32" t="n">
        <x:v>2.41</x:v>
      </x:c>
      <x:c r="G13" s="24" t="str">
        <x:v>Nitschke et al. 2026</x:v>
      </x:c>
      <x:c r="H13" s="24" t="str">
        <x:v>https://doi.org/10.1007/s10750-025-05956-5</x:v>
      </x:c>
      <x:c r="I13" s="24" t="str">
        <x:v>Amphipod group mapped to the PECC amphipod proxy.</x:v>
      </x:c>
    </x:row>
    <x:row r="14">
      <x:c r="A14" s="24" t="str">
        <x:v>Isopoda</x:v>
      </x:c>
      <x:c r="B14" s="24" t="str">
        <x:v>Broad taxonomic group</x:v>
      </x:c>
      <x:c r="C14" s="24" t="str">
        <x:v>Crustacea</x:v>
      </x:c>
      <x:c r="D14" s="32" t="n">
        <x:v>3.9</x:v>
      </x:c>
      <x:c r="E14" s="32" t="n">
        <x:v>1.75</x:v>
      </x:c>
      <x:c r="F14" s="32" t="n">
        <x:v>6.9</x:v>
      </x:c>
      <x:c r="G14" s="24" t="str">
        <x:v>Spitz et al. 2010; Nitschke et al. 2026; Lawson et al. 2018; Cauffopé &amp; Heymans 2005</x:v>
      </x:c>
      <x:c r="H14" s="24" t="str">
        <x:v>https://doi.org/10.1093/icesjms/fsq008 ; https://doi.org/10.1007/s10750-025-05956-5 ; https://doi.org/10.1038/s41598-018-28479-7</x:v>
      </x:c>
      <x:c r="I14" s="24" t="str">
        <x:v>No isopod-specific ED in PECC v1.0.0; broad Crustacea used.</x:v>
      </x:c>
    </x:row>
    <x:row r="15">
      <x:c r="A15" s="24" t="str">
        <x:v>Ascidiacea</x:v>
      </x:c>
      <x:c r="B15" s="24" t="str">
        <x:v>Broad taxonomic group</x:v>
      </x:c>
      <x:c r="C15" s="24" t="str">
        <x:v>Other invertebrates</x:v>
      </x:c>
      <x:c r="D15" s="32" t="n">
        <x:v>3</x:v>
      </x:c>
      <x:c r="E15" s="32" t="n">
        <x:v>2.16</x:v>
      </x:c>
      <x:c r="F15" s="32" t="n">
        <x:v>4</x:v>
      </x:c>
      <x:c r="G15" s="24" t="str">
        <x:v>Nitschke et al. 2026; Cauffopé &amp; Heymans 2005</x:v>
      </x:c>
      <x:c r="H15" s="24" t="str">
        <x:v>https://doi.org/10.1007/s10750-025-05956-5 ; https://www.fisheries.ubc.ca/webfm_send/122</x:v>
      </x:c>
      <x:c r="I15" s="24" t="str">
        <x:v>No ascidian-specific ED in PECC v1.0.0; broad other-invertebrate ED used.</x:v>
      </x:c>
    </x:row>
    <x:row r="16">
      <x:c r="A16" s="24" t="str">
        <x:v>Pisces</x:v>
      </x:c>
      <x:c r="B16" s="24" t="str">
        <x:v>Broad taxonomic group</x:v>
      </x:c>
      <x:c r="C16" s="24" t="str">
        <x:v>Teleostei</x:v>
      </x:c>
      <x:c r="D16" s="32" t="n">
        <x:v>5.62</x:v>
      </x:c>
      <x:c r="E16" s="32" t="n">
        <x:v>2.1</x:v>
      </x:c>
      <x:c r="F16" s="32" t="n">
        <x:v>11.05</x:v>
      </x:c>
      <x:c r="G16" s="24" t="str">
        <x:v>Spitz et al. 2010; Wuenschel et al. 2024; Nitschke et al. 2026; Lawson et al. 2018</x:v>
      </x:c>
      <x:c r="H16" s="24" t="str">
        <x:v>https://doi.org/10.1093/icesjms/fsq008 ; https://doi.org/10.1002/mcf2.10287 ; https://doi.org/10.1007/s10750-025-05956-5</x:v>
      </x:c>
      <x:c r="I16" s="24" t="str">
        <x:v>Broad Teleostei used because the published Pisces %W aggregates identified and unidentified fish prey; prey-level ED assignment requires the original wet-mass records.</x:v>
      </x:c>
    </x:row>
  </x:sheetData>
  <x:pageMargins left="0.7" right="0.7" top="0.75" bottom="0.75" header="0.3" footer="0.3"/>
  <x:tableParts count="1">
    <x:tablePart xmlns:r="http://schemas.openxmlformats.org/officeDocument/2006/relationships" r:id="Rb20cbcdfe37d4e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4" max="4" width="24" hidden="0" customWidth="1"/>
    <x:col min="5" max="5" width="24" hidden="0" customWidth="1"/>
    <x:col min="17" max="17" width="42" hidden="0" customWidth="1"/>
    <x:col min="18" max="18" width="62" hidden="0" customWidth="1"/>
    <x:col min="19" max="19" width="14" hidden="0" customWidth="1"/>
  </x:cols>
  <x:sheetData>
    <x:row r="1">
      <x:c r="A1" s="12" t="str">
        <x:v>Predator</x:v>
      </x:c>
      <x:c r="B1" s="12" t="str">
        <x:v>Prey_group</x:v>
      </x:c>
      <x:c r="C1" s="12" t="str">
        <x:v>Published_%W</x:v>
      </x:c>
      <x:c r="D1" s="12" t="str">
        <x:v>PECC_match_level</x:v>
      </x:c>
      <x:c r="E1" s="12" t="str">
        <x:v>Matched_ED_group</x:v>
      </x:c>
      <x:c r="F1" s="12" t="str">
        <x:v>ED</x:v>
      </x:c>
      <x:c r="G1" s="12" t="str">
        <x:v>ED_min</x:v>
      </x:c>
      <x:c r="H1" s="12" t="str">
        <x:v>ED_max</x:v>
      </x:c>
      <x:c r="I1" s="12" t="str">
        <x:v>Normalized_%W</x:v>
      </x:c>
      <x:c r="J1" s="12" t="str">
        <x:v>Relative_energy_score</x:v>
      </x:c>
      <x:c r="K1" s="12" t="str">
        <x:v>Estimated_%E</x:v>
      </x:c>
      <x:c r="L1" s="12" t="str">
        <x:v>Energy_score_min</x:v>
      </x:c>
      <x:c r="M1" s="12" t="str">
        <x:v>Energy_score_max</x:v>
      </x:c>
      <x:c r="N1" s="12" t="str">
        <x:v>%E_lower_bound</x:v>
      </x:c>
      <x:c r="O1" s="12" t="str">
        <x:v>%E_upper_bound</x:v>
      </x:c>
      <x:c r="P1" s="12" t="str">
        <x:v>Delta_%E_minus_%W</x:v>
      </x:c>
      <x:c r="Q1" s="12" t="str">
        <x:v>ED_source</x:v>
      </x:c>
      <x:c r="R1" s="12" t="str">
        <x:v>Mapping_note</x:v>
      </x:c>
      <x:c r="S1" s="50" t="str">
        <x:v>Published_%IRI</x:v>
      </x:c>
    </x:row>
    <x:row r="2">
      <x:c r="A2" s="24" t="str">
        <x:v>Trichiurus japonicus</x:v>
      </x:c>
      <x:c r="B2" s="24" t="str">
        <x:v>Cephalopoda</x:v>
      </x:c>
      <x:c r="C2" s="28" t="n">
        <x:v>0.5</x:v>
      </x:c>
      <x:c r="D2" s="24" t="str">
        <x:v>Broad taxonomic group</x:v>
      </x:c>
      <x:c r="E2" s="24" t="str">
        <x:v>Cephalopoda</x:v>
      </x:c>
      <x:c r="F2" s="32" t="n">
        <x:v>4.7</x:v>
      </x:c>
      <x:c r="G2" s="32" t="n">
        <x:v>3.6</x:v>
      </x:c>
      <x:c r="H2" s="32" t="n">
        <x:v>5.59</x:v>
      </x:c>
      <x:c r="I2" s="36" t="n">
        <x:f>C2/SUMIF($A$2:$A$26,A2,$C$2:$C$26)*100</x:f>
        <x:v>0.4995004995004995</x:v>
      </x:c>
      <x:c r="J2" s="36" t="n">
        <x:f>I2*F2</x:f>
        <x:v>2.347652347652348</x:v>
      </x:c>
      <x:c r="K2" s="36" t="n">
        <x:f>J2/SUMIF($A$2:$A$26,A2,$J$2:$J$26)*100</x:f>
        <x:v>0.43531255441406935</x:v>
      </x:c>
      <x:c r="L2" s="36" t="n">
        <x:f>I2*G2</x:f>
        <x:v>1.7982017982017984</x:v>
      </x:c>
      <x:c r="M2" s="36" t="n">
        <x:f>I2*H2</x:f>
        <x:v>2.792207792207792</x:v>
      </x:c>
      <x:c r="N2" s="36" t="n">
        <x:f>L2/(L2+SUMIF($A$2:$A$26,A2,$M$2:$M$26)-M2)*100</x:f>
        <x:v>0.18029658788707423</x:v>
      </x:c>
      <x:c r="O2" s="36" t="n">
        <x:f>M2/(M2+SUMIF($A$2:$A$26,A2,$L$2:$L$26)-L2)*100</x:f>
        <x:v>1.1511295072177261</x:v>
      </x:c>
      <x:c r="P2" s="36" t="n">
        <x:f>K2-I2</x:f>
        <x:v>-0.06418794508643016</x:v>
      </x:c>
      <x:c r="Q2" s="24" t="str">
        <x:v>Spitz et al. 2010; Price et al. 2024; Wuenschel et al. 2024; Cauffopé &amp; Heymans 2005</x:v>
      </x:c>
      <x:c r="R2" s="24" t="str">
        <x:v>Aggregate Cephalopoda %W combines identified and unidentified prey; broad cephalopod ED used.</x:v>
      </x:c>
      <x:c r="S2" s="26"/>
    </x:row>
    <x:row r="3">
      <x:c r="A3" s="24" t="str">
        <x:v>Trichiurus japonicus</x:v>
      </x:c>
      <x:c r="B3" s="24" t="str">
        <x:v>Euphausiacea</x:v>
      </x:c>
      <x:c r="C3" s="28" t="n">
        <x:v>14.3</x:v>
      </x:c>
      <x:c r="D3" s="24" t="str">
        <x:v>Energy proxy group</x:v>
      </x:c>
      <x:c r="E3" s="24" t="str">
        <x:v>Pelagic planktonic euphausiids</x:v>
      </x:c>
      <x:c r="F3" s="32" t="n">
        <x:v>4.22</x:v>
      </x:c>
      <x:c r="G3" s="32" t="n">
        <x:v>4.22</x:v>
      </x:c>
      <x:c r="H3" s="32" t="n">
        <x:v>4.22</x:v>
      </x:c>
      <x:c r="I3" s="36" t="n">
        <x:f>C3/SUMIF($A$2:$A$26,A3,$C$2:$C$26)*100</x:f>
        <x:v>14.285714285714288</x:v>
      </x:c>
      <x:c r="J3" s="36" t="n">
        <x:f>I3*F3</x:f>
        <x:v>60.28571428571429</x:v>
      </x:c>
      <x:c r="K3" s="36" t="n">
        <x:f>J3/SUMIF($A$2:$A$26,A3,$J$2:$J$26)*100</x:f>
        <x:v>11.178455918583587</x:v>
      </x:c>
      <x:c r="L3" s="36" t="n">
        <x:f>I3*G3</x:f>
        <x:v>60.28571428571429</x:v>
      </x:c>
      <x:c r="M3" s="36" t="n">
        <x:f>I3*H3</x:f>
        <x:v>60.28571428571429</x:v>
      </x:c>
      <x:c r="N3" s="36" t="n">
        <x:f>L3/(L3+SUMIF($A$2:$A$26,A3,$M$2:$M$26)-M3)*100</x:f>
        <x:v>6.038525041276831</x:v>
      </x:c>
      <x:c r="O3" s="36" t="n">
        <x:f>M3/(M3+SUMIF($A$2:$A$26,A3,$L$2:$L$26)-L3)*100</x:f>
        <x:v>24.955957156445148</x:v>
      </x:c>
      <x:c r="P3" s="36" t="n">
        <x:f>K3-I3</x:f>
        <x:v>-3.107258367130701</x:v>
      </x:c>
      <x:c r="Q3" s="24" t="str">
        <x:v>Price et al. 2024</x:v>
      </x:c>
      <x:c r="R3" s="24" t="str">
        <x:v>Euphausiacea maps directly to the PECC euphausiid proxy.</x:v>
      </x:c>
      <x:c r="S3" s="26" t="n">
        <x:v>50.2</x:v>
      </x:c>
    </x:row>
    <x:row r="4">
      <x:c r="A4" s="24" t="str">
        <x:v>Trichiurus japonicus</x:v>
      </x:c>
      <x:c r="B4" s="24" t="str">
        <x:v>Macrura</x:v>
      </x:c>
      <x:c r="C4" s="28" t="n">
        <x:v>0.6</x:v>
      </x:c>
      <x:c r="D4" s="24" t="str">
        <x:v>Energy proxy group</x:v>
      </x:c>
      <x:c r="E4" s="24" t="str">
        <x:v>Decapods (ecology unspecified)</x:v>
      </x:c>
      <x:c r="F4" s="32" t="n">
        <x:v>3.97</x:v>
      </x:c>
      <x:c r="G4" s="32" t="n">
        <x:v>3.4</x:v>
      </x:c>
      <x:c r="H4" s="32" t="n">
        <x:v>5.3</x:v>
      </x:c>
      <x:c r="I4" s="36" t="n">
        <x:f>C4/SUMIF($A$2:$A$26,A4,$C$2:$C$26)*100</x:f>
        <x:v>0.5994005994005994</x:v>
      </x:c>
      <x:c r="J4" s="36" t="n">
        <x:f>I4*F4</x:f>
        <x:v>2.3796203796203796</x:v>
      </x:c>
      <x:c r="K4" s="36" t="n">
        <x:f>J4/SUMIF($A$2:$A$26,A4,$J$2:$J$26)*100</x:f>
        <x:v>0.4412402147294949</x:v>
      </x:c>
      <x:c r="L4" s="36" t="n">
        <x:f>I4*G4</x:f>
        <x:v>2.037962037962038</x:v>
      </x:c>
      <x:c r="M4" s="36" t="n">
        <x:f>I4*H4</x:f>
        <x:v>3.1768231768231767</x:v>
      </x:c>
      <x:c r="N4" s="36" t="n">
        <x:f>L4/(L4+SUMIF($A$2:$A$26,A4,$M$2:$M$26)-M4)*100</x:f>
        <x:v>0.20436581480850718</x:v>
      </x:c>
      <x:c r="O4" s="36" t="n">
        <x:f>M4/(M4+SUMIF($A$2:$A$26,A4,$L$2:$L$26)-L4)*100</x:f>
        <x:v>1.3089112986211155</x:v>
      </x:c>
      <x:c r="P4" s="36" t="n">
        <x:f>K4-I4</x:f>
        <x:v>-0.15816038467110455</x:v>
      </x:c>
      <x:c r="Q4" s="24" t="str">
        <x:v>Spitz et al. 2010; Lawson et al. 2018</x:v>
      </x:c>
      <x:c r="R4" s="24" t="str">
        <x:v>Legacy Macrura category treated as decapod shrimps/prawns with ecology unspecified.</x:v>
      </x:c>
      <x:c r="S4" s="26"/>
    </x:row>
    <x:row r="5">
      <x:c r="A5" s="24" t="str">
        <x:v>Trichiurus japonicus</x:v>
      </x:c>
      <x:c r="B5" s="24" t="str">
        <x:v>Brachyura</x:v>
      </x:c>
      <x:c r="C5" s="28" t="n">
        <x:v>0.2</x:v>
      </x:c>
      <x:c r="D5" s="24" t="str">
        <x:v>Energy proxy group</x:v>
      </x:c>
      <x:c r="E5" s="24" t="str">
        <x:v>Benthic decapods</x:v>
      </x:c>
      <x:c r="F5" s="32" t="n">
        <x:v>3.07</x:v>
      </x:c>
      <x:c r="G5" s="32" t="n">
        <x:v>1.75</x:v>
      </x:c>
      <x:c r="H5" s="32" t="n">
        <x:v>5.16</x:v>
      </x:c>
      <x:c r="I5" s="36" t="n">
        <x:f>C5/SUMIF($A$2:$A$26,A5,$C$2:$C$26)*100</x:f>
        <x:v>0.19980019980019983</x:v>
      </x:c>
      <x:c r="J5" s="36" t="n">
        <x:f>I5*F5</x:f>
        <x:v>0.6133866133866135</x:v>
      </x:c>
      <x:c r="K5" s="36" t="n">
        <x:f>J5/SUMIF($A$2:$A$26,A5,$J$2:$J$26)*100</x:f>
        <x:v>0.11373698230222919</x:v>
      </x:c>
      <x:c r="L5" s="36" t="n">
        <x:f>I5*G5</x:f>
        <x:v>0.3496503496503497</x:v>
      </x:c>
      <x:c r="M5" s="36" t="n">
        <x:f>I5*H5</x:f>
        <x:v>1.0309690309690311</x:v>
      </x:c>
      <x:c r="N5" s="36" t="n">
        <x:f>L5/(L5+SUMIF($A$2:$A$26,A5,$M$2:$M$26)-M5)*100</x:f>
        <x:v>0.035046682180664646</x:v>
      </x:c>
      <x:c r="O5" s="36" t="n">
        <x:f>M5/(M5+SUMIF($A$2:$A$26,A5,$L$2:$L$26)-L5)*100</x:f>
        <x:v>0.4255810500964981</x:v>
      </x:c>
      <x:c r="P5" s="36" t="n">
        <x:f>K5-I5</x:f>
        <x:v>-0.08606321749797065</x:v>
      </x:c>
      <x:c r="Q5" s="24" t="str">
        <x:v>Nitschke et al. 2026; Lawson et al. 2018</x:v>
      </x:c>
      <x:c r="R5" s="24" t="str">
        <x:v>Crab prey mapped to benthic decapod proxy.</x:v>
      </x:c>
      <x:c r="S5" s="26"/>
    </x:row>
    <x:row r="6">
      <x:c r="A6" s="24" t="str">
        <x:v>Trichiurus japonicus</x:v>
      </x:c>
      <x:c r="B6" s="24" t="str">
        <x:v>Amphipoda</x:v>
      </x:c>
      <x:c r="C6" s="28" t="n">
        <x:v>0.2</x:v>
      </x:c>
      <x:c r="D6" s="24" t="str">
        <x:v>Energy proxy group</x:v>
      </x:c>
      <x:c r="E6" s="24" t="str">
        <x:v>Benthopelagic amphipods</x:v>
      </x:c>
      <x:c r="F6" s="32" t="n">
        <x:v>1.92</x:v>
      </x:c>
      <x:c r="G6" s="32" t="n">
        <x:v>1.22</x:v>
      </x:c>
      <x:c r="H6" s="32" t="n">
        <x:v>2.41</x:v>
      </x:c>
      <x:c r="I6" s="36" t="n">
        <x:f>C6/SUMIF($A$2:$A$26,A6,$C$2:$C$26)*100</x:f>
        <x:v>0.19980019980019983</x:v>
      </x:c>
      <x:c r="J6" s="36" t="n">
        <x:f>I6*F6</x:f>
        <x:v>0.38361638361638367</x:v>
      </x:c>
      <x:c r="K6" s="36" t="n">
        <x:f>J6/SUMIF($A$2:$A$26,A6,$J$2:$J$26)*100</x:f>
        <x:v>0.0711319237851075</x:v>
      </x:c>
      <x:c r="L6" s="36" t="n">
        <x:f>I6*G6</x:f>
        <x:v>0.2437562437562438</x:v>
      </x:c>
      <x:c r="M6" s="36" t="n">
        <x:f>I6*H6</x:f>
        <x:v>0.48151848151848164</x:v>
      </x:c>
      <x:c r="N6" s="36" t="n">
        <x:f>L6/(L6+SUMIF($A$2:$A$26,A6,$M$2:$M$26)-M6)*100</x:f>
        <x:v>0.024421686457574324</x:v>
      </x:c>
      <x:c r="O6" s="36" t="n">
        <x:f>M6/(M6+SUMIF($A$2:$A$26,A6,$L$2:$L$26)-L6)*100</x:f>
        <x:v>0.19913405605499743</x:v>
      </x:c>
      <x:c r="P6" s="36" t="n">
        <x:f>K6-I6</x:f>
        <x:v>-0.12866827601509234</x:v>
      </x:c>
      <x:c r="Q6" s="24" t="str">
        <x:v>Nitschke et al. 2026</x:v>
      </x:c>
      <x:c r="R6" s="24" t="str">
        <x:v>Amphipod group mapped to the PECC amphipod proxy.</x:v>
      </x:c>
      <x:c r="S6" s="26" t="n">
        <x:v>0.1</x:v>
      </x:c>
    </x:row>
    <x:row r="7">
      <x:c r="A7" s="24" t="str">
        <x:v>Trichiurus japonicus</x:v>
      </x:c>
      <x:c r="B7" s="24" t="str">
        <x:v>Pisces</x:v>
      </x:c>
      <x:c r="C7" s="28" t="n">
        <x:v>84.3</x:v>
      </x:c>
      <x:c r="D7" s="24" t="str">
        <x:v>Broad taxonomic group</x:v>
      </x:c>
      <x:c r="E7" s="24" t="str">
        <x:v>Teleostei</x:v>
      </x:c>
      <x:c r="F7" s="32" t="n">
        <x:v>5.62</x:v>
      </x:c>
      <x:c r="G7" s="32" t="n">
        <x:v>2.1</x:v>
      </x:c>
      <x:c r="H7" s="32" t="n">
        <x:v>11.05</x:v>
      </x:c>
      <x:c r="I7" s="36" t="n">
        <x:f>C7/SUMIF($A$2:$A$26,A7,$C$2:$C$26)*100</x:f>
        <x:v>84.21578421578421</x:v>
      </x:c>
      <x:c r="J7" s="36" t="n">
        <x:f>I7*F7</x:f>
        <x:v>473.2927072927073</x:v>
      </x:c>
      <x:c r="K7" s="36" t="n">
        <x:f>J7/SUMIF($A$2:$A$26,A7,$J$2:$J$26)*100</x:f>
        <x:v>87.76012240618552</x:v>
      </x:c>
      <x:c r="L7" s="36" t="n">
        <x:f>I7*G7</x:f>
        <x:v>176.85314685314685</x:v>
      </x:c>
      <x:c r="M7" s="36" t="n">
        <x:f>I7*H7</x:f>
        <x:v>930.5844155844156</x:v>
      </x:c>
      <x:c r="N7" s="36" t="n">
        <x:f>L7/(L7+SUMIF($A$2:$A$26,A7,$M$2:$M$26)-M7)*100</x:f>
        <x:v>72.29697996855407</x:v>
      </x:c>
      <x:c r="O7" s="36" t="n">
        <x:f>M7/(M7+SUMIF($A$2:$A$26,A7,$L$2:$L$26)-L7)*100</x:f>
        <x:v>93.49790975564466</x:v>
      </x:c>
      <x:c r="P7" s="36" t="n">
        <x:f>K7-I7</x:f>
        <x:v>3.544338190401305</x:v>
      </x:c>
      <x:c r="Q7" s="24" t="str">
        <x:v>Spitz et al. 2010; Wuenschel et al. 2024; Nitschke et al. 2026; Lawson et al. 2018</x:v>
      </x:c>
      <x:c r="R7" s="24" t="str">
        <x:v>Broad Teleostei used because the published Pisces %W aggregates identified and unidentified fish prey; prey-level ED assignment requires the original wet-mass records.</x:v>
      </x:c>
      <x:c r="S7" s="26" t="n">
        <x:v>49.6</x:v>
      </x:c>
    </x:row>
    <x:row r="8">
      <x:c r="A8" s="24" t="str">
        <x:v>Scomber japonicus</x:v>
      </x:c>
      <x:c r="B8" s="24" t="str">
        <x:v>Gastropoda</x:v>
      </x:c>
      <x:c r="C8" s="28" t="n">
        <x:v>0.9</x:v>
      </x:c>
      <x:c r="D8" s="24" t="str">
        <x:v>Broad taxonomic group</x:v>
      </x:c>
      <x:c r="E8" s="24" t="str">
        <x:v>Mollusca (non-cephalopods)</x:v>
      </x:c>
      <x:c r="F8" s="32" t="n">
        <x:v>2.14</x:v>
      </x:c>
      <x:c r="G8" s="32" t="n">
        <x:v>1.07</x:v>
      </x:c>
      <x:c r="H8" s="32" t="n">
        <x:v>3.69</x:v>
      </x:c>
      <x:c r="I8" s="36" t="n">
        <x:f>C8/SUMIF($A$2:$A$26,A8,$C$2:$C$26)*100</x:f>
        <x:v>0.9009009009009009</x:v>
      </x:c>
      <x:c r="J8" s="36" t="n">
        <x:f>I8*F8</x:f>
        <x:v>1.927927927927928</x:v>
      </x:c>
      <x:c r="K8" s="36" t="n">
        <x:f>J8/SUMIF($A$2:$A$26,A8,$J$2:$J$26)*100</x:f>
        <x:v>0.4393218112102335</x:v>
      </x:c>
      <x:c r="L8" s="36" t="n">
        <x:f>I8*G8</x:f>
        <x:v>0.963963963963964</x:v>
      </x:c>
      <x:c r="M8" s="36" t="n">
        <x:f>I8*H8</x:f>
        <x:v>3.324324324324324</x:v>
      </x:c>
      <x:c r="N8" s="36" t="n">
        <x:f>L8/(L8+SUMIF($A$2:$A$26,A8,$M$2:$M$26)-M8)*100</x:f>
        <x:v>0.1573447140018823</x:v>
      </x:c>
      <x:c r="O8" s="36" t="n">
        <x:f>M8/(M8+SUMIF($A$2:$A$26,A8,$L$2:$L$26)-L8)*100</x:f>
        <x:v>1.0170425834902843</x:v>
      </x:c>
      <x:c r="P8" s="36" t="n">
        <x:f>K8-I8</x:f>
        <x:v>-0.4615790896906674</x:v>
      </x:c>
      <x:c r="Q8" s="24" t="str">
        <x:v>Nitschke et al. 2026; Cauffopé &amp; Heymans 2005</x:v>
      </x:c>
      <x:c r="R8" s="24" t="str">
        <x:v>Broad Mollusca used because the published Gastropoda include pelagic Cavoliniidae as well as unidentified gastropods; the benthic-gastropod proxy would be inappropriate for the aggregate group.</x:v>
      </x:c>
      <x:c r="S8" s="26" t="n">
        <x:v>0.5</x:v>
      </x:c>
    </x:row>
    <x:row r="9">
      <x:c r="A9" s="24" t="str">
        <x:v>Scomber japonicus</x:v>
      </x:c>
      <x:c r="B9" s="24" t="str">
        <x:v>Dentaliida</x:v>
      </x:c>
      <x:c r="C9" s="28" t="n">
        <x:v>0.3</x:v>
      </x:c>
      <x:c r="D9" s="24" t="str">
        <x:v>Broad taxonomic group</x:v>
      </x:c>
      <x:c r="E9" s="24" t="str">
        <x:v>Mollusca (non-cephalopods)</x:v>
      </x:c>
      <x:c r="F9" s="32" t="n">
        <x:v>2.14</x:v>
      </x:c>
      <x:c r="G9" s="32" t="n">
        <x:v>1.07</x:v>
      </x:c>
      <x:c r="H9" s="32" t="n">
        <x:v>3.69</x:v>
      </x:c>
      <x:c r="I9" s="36" t="n">
        <x:f>C9/SUMIF($A$2:$A$26,A9,$C$2:$C$26)*100</x:f>
        <x:v>0.30030030030030025</x:v>
      </x:c>
      <x:c r="J9" s="36" t="n">
        <x:f>I9*F9</x:f>
        <x:v>0.6426426426426426</x:v>
      </x:c>
      <x:c r="K9" s="36" t="n">
        <x:f>J9/SUMIF($A$2:$A$26,A9,$J$2:$J$26)*100</x:f>
        <x:v>0.1464406037367445</x:v>
      </x:c>
      <x:c r="L9" s="36" t="n">
        <x:f>I9*G9</x:f>
        <x:v>0.3213213213213213</x:v>
      </x:c>
      <x:c r="M9" s="36" t="n">
        <x:f>I9*H9</x:f>
        <x:v>1.108108108108108</x:v>
      </x:c>
      <x:c r="N9" s="36" t="n">
        <x:f>L9/(L9+SUMIF($A$2:$A$26,A9,$M$2:$M$26)-M9)*100</x:f>
        <x:v>0.052313870183375605</x:v>
      </x:c>
      <x:c r="O9" s="36" t="n">
        <x:f>M9/(M9+SUMIF($A$2:$A$26,A9,$L$2:$L$26)-L9)*100</x:f>
        <x:v>0.34065416678206434</x:v>
      </x:c>
      <x:c r="P9" s="36" t="n">
        <x:f>K9-I9</x:f>
        <x:v>-0.15385969656355575</x:v>
      </x:c>
      <x:c r="Q9" s="24" t="str">
        <x:v>Nitschke et al. 2026; Cauffopé &amp; Heymans 2005</x:v>
      </x:c>
      <x:c r="R9" s="24" t="str">
        <x:v>No taxon-specific/proxy ED in PECC; broad non-cephalopod Mollusca used.</x:v>
      </x:c>
      <x:c r="S9" s="26"/>
    </x:row>
    <x:row r="10">
      <x:c r="A10" s="24" t="str">
        <x:v>Scomber japonicus</x:v>
      </x:c>
      <x:c r="B10" s="24" t="str">
        <x:v>Cephalopoda</x:v>
      </x:c>
      <x:c r="C10" s="28" t="n">
        <x:v>1.6</x:v>
      </x:c>
      <x:c r="D10" s="24" t="str">
        <x:v>Broad taxonomic group</x:v>
      </x:c>
      <x:c r="E10" s="24" t="str">
        <x:v>Cephalopoda</x:v>
      </x:c>
      <x:c r="F10" s="32" t="n">
        <x:v>4.7</x:v>
      </x:c>
      <x:c r="G10" s="32" t="n">
        <x:v>3.6</x:v>
      </x:c>
      <x:c r="H10" s="32" t="n">
        <x:v>5.59</x:v>
      </x:c>
      <x:c r="I10" s="36" t="n">
        <x:f>C10/SUMIF($A$2:$A$26,A10,$C$2:$C$26)*100</x:f>
        <x:v>1.6016016016016015</x:v>
      </x:c>
      <x:c r="J10" s="36" t="n">
        <x:f>I10*F10</x:f>
        <x:v>7.5275275275275275</x:v>
      </x:c>
      <x:c r="K10" s="36" t="n">
        <x:f>J10/SUMIF($A$2:$A$26,A10,$J$2:$J$26)*100</x:f>
        <x:v>1.7153167291282225</x:v>
      </x:c>
      <x:c r="L10" s="36" t="n">
        <x:f>I10*G10</x:f>
        <x:v>5.7657657657657655</x:v>
      </x:c>
      <x:c r="M10" s="36" t="n">
        <x:f>I10*H10</x:f>
        <x:v>8.952952952952952</x:v>
      </x:c>
      <x:c r="N10" s="36" t="n">
        <x:f>L10/(L10+SUMIF($A$2:$A$26,A10,$M$2:$M$26)-M10)*100</x:f>
        <x:v>0.9423991256630335</x:v>
      </x:c>
      <x:c r="O10" s="36" t="n">
        <x:f>M10/(M10+SUMIF($A$2:$A$26,A10,$L$2:$L$26)-L10)*100</x:f>
        <x:v>2.7321519667889578</x:v>
      </x:c>
      <x:c r="P10" s="36" t="n">
        <x:f>K10-I10</x:f>
        <x:v>0.11371512752662105</x:v>
      </x:c>
      <x:c r="Q10" s="24" t="str">
        <x:v>Spitz et al. 2010; Price et al. 2024; Wuenschel et al. 2024; Cauffopé &amp; Heymans 2005</x:v>
      </x:c>
      <x:c r="R10" s="24" t="str">
        <x:v>Aggregate Cephalopoda %W combines identified and unidentified prey; broad cephalopod ED used.</x:v>
      </x:c>
      <x:c r="S10" s="26" t="n">
        <x:v>0.1</x:v>
      </x:c>
    </x:row>
    <x:row r="11">
      <x:c r="A11" s="24" t="str">
        <x:v>Scomber japonicus</x:v>
      </x:c>
      <x:c r="B11" s="24" t="str">
        <x:v>Euphausiacea</x:v>
      </x:c>
      <x:c r="C11" s="28" t="n">
        <x:v>54.9</x:v>
      </x:c>
      <x:c r="D11" s="24" t="str">
        <x:v>Energy proxy group</x:v>
      </x:c>
      <x:c r="E11" s="24" t="str">
        <x:v>Pelagic planktonic euphausiids</x:v>
      </x:c>
      <x:c r="F11" s="32" t="n">
        <x:v>4.22</x:v>
      </x:c>
      <x:c r="G11" s="32" t="n">
        <x:v>4.22</x:v>
      </x:c>
      <x:c r="H11" s="32" t="n">
        <x:v>4.22</x:v>
      </x:c>
      <x:c r="I11" s="36" t="n">
        <x:f>C11/SUMIF($A$2:$A$26,A11,$C$2:$C$26)*100</x:f>
        <x:v>54.95495495495495</x:v>
      </x:c>
      <x:c r="J11" s="36" t="n">
        <x:f>I11*F11</x:f>
        <x:v>231.90990990990989</x:v>
      </x:c>
      <x:c r="K11" s="36" t="n">
        <x:f>J11/SUMIF($A$2:$A$26,A11,$J$2:$J$26)*100</x:f>
        <x:v>52.84589749613939</x:v>
      </x:c>
      <x:c r="L11" s="36" t="n">
        <x:f>I11*G11</x:f>
        <x:v>231.90990990990989</x:v>
      </x:c>
      <x:c r="M11" s="36" t="n">
        <x:f>I11*H11</x:f>
        <x:v>231.90990990990989</x:v>
      </x:c>
      <x:c r="N11" s="36" t="n">
        <x:f>L11/(L11+SUMIF($A$2:$A$26,A11,$M$2:$M$26)-M11)*100</x:f>
        <x:v>37.7086215595957</x:v>
      </x:c>
      <x:c r="O11" s="36" t="n">
        <x:f>M11/(M11+SUMIF($A$2:$A$26,A11,$L$2:$L$26)-L11)*100</x:f>
        <x:v>71.46651366383179</x:v>
      </x:c>
      <x:c r="P11" s="36" t="n">
        <x:f>K11-I11</x:f>
        <x:v>-2.109057458815556</x:v>
      </x:c>
      <x:c r="Q11" s="24" t="str">
        <x:v>Price et al. 2024</x:v>
      </x:c>
      <x:c r="R11" s="24" t="str">
        <x:v>Euphausiacea maps directly to the PECC euphausiid proxy.</x:v>
      </x:c>
      <x:c r="S11" s="26" t="n">
        <x:v>84.9</x:v>
      </x:c>
    </x:row>
    <x:row r="12">
      <x:c r="A12" s="24" t="str">
        <x:v>Scomber japonicus</x:v>
      </x:c>
      <x:c r="B12" s="24" t="str">
        <x:v>Stomatopoda</x:v>
      </x:c>
      <x:c r="C12" s="28" t="n">
        <x:v>0.1</x:v>
      </x:c>
      <x:c r="D12" s="24" t="str">
        <x:v>Broad taxonomic group</x:v>
      </x:c>
      <x:c r="E12" s="24" t="str">
        <x:v>Crustacea</x:v>
      </x:c>
      <x:c r="F12" s="32" t="n">
        <x:v>3.9</x:v>
      </x:c>
      <x:c r="G12" s="32" t="n">
        <x:v>1.75</x:v>
      </x:c>
      <x:c r="H12" s="32" t="n">
        <x:v>6.9</x:v>
      </x:c>
      <x:c r="I12" s="36" t="n">
        <x:f>C12/SUMIF($A$2:$A$26,A12,$C$2:$C$26)*100</x:f>
        <x:v>0.10010010010010009</x:v>
      </x:c>
      <x:c r="J12" s="36" t="n">
        <x:f>I12*F12</x:f>
        <x:v>0.39039039039039036</x:v>
      </x:c>
      <x:c r="K12" s="36" t="n">
        <x:f>J12/SUMIF($A$2:$A$26,A12,$J$2:$J$26)*100</x:f>
        <x:v>0.08895924526063918</x:v>
      </x:c>
      <x:c r="L12" s="36" t="n">
        <x:f>I12*G12</x:f>
        <x:v>0.17517517517517517</x:v>
      </x:c>
      <x:c r="M12" s="36" t="n">
        <x:f>I12*H12</x:f>
        <x:v>0.6906906906906907</x:v>
      </x:c>
      <x:c r="N12" s="36" t="n">
        <x:f>L12/(L12+SUMIF($A$2:$A$26,A12,$M$2:$M$26)-M12)*100</x:f>
        <x:v>0.0285074322948483</x:v>
      </x:c>
      <x:c r="O12" s="36" t="n">
        <x:f>M12/(M12+SUMIF($A$2:$A$26,A12,$L$2:$L$26)-L12)*100</x:f>
        <x:v>0.21250908553336703</x:v>
      </x:c>
      <x:c r="P12" s="36" t="n">
        <x:f>K12-I12</x:f>
        <x:v>-0.01114085483946091</x:v>
      </x:c>
      <x:c r="Q12" s="24" t="str">
        <x:v>Spitz et al. 2010; Nitschke et al. 2026; Lawson et al. 2018; Cauffopé &amp; Heymans 2005</x:v>
      </x:c>
      <x:c r="R12" s="24" t="str">
        <x:v>Stomatopods are not Decapoda; broad Crustacea used.</x:v>
      </x:c>
      <x:c r="S12" s="26"/>
    </x:row>
    <x:row r="13">
      <x:c r="A13" s="24" t="str">
        <x:v>Scomber japonicus</x:v>
      </x:c>
      <x:c r="B13" s="24" t="str">
        <x:v>Macrura</x:v>
      </x:c>
      <x:c r="C13" s="28" t="n">
        <x:v>1.7</x:v>
      </x:c>
      <x:c r="D13" s="24" t="str">
        <x:v>Energy proxy group</x:v>
      </x:c>
      <x:c r="E13" s="24" t="str">
        <x:v>Decapods (ecology unspecified)</x:v>
      </x:c>
      <x:c r="F13" s="32" t="n">
        <x:v>3.97</x:v>
      </x:c>
      <x:c r="G13" s="32" t="n">
        <x:v>3.4</x:v>
      </x:c>
      <x:c r="H13" s="32" t="n">
        <x:v>5.3</x:v>
      </x:c>
      <x:c r="I13" s="36" t="n">
        <x:f>C13/SUMIF($A$2:$A$26,A13,$C$2:$C$26)*100</x:f>
        <x:v>1.7017017017017015</x:v>
      </x:c>
      <x:c r="J13" s="36" t="n">
        <x:f>I13*F13</x:f>
        <x:v>6.7557557557557555</x:v>
      </x:c>
      <x:c r="K13" s="36" t="n">
        <x:f>J13/SUMIF($A$2:$A$26,A13,$J$2:$J$26)*100</x:f>
        <x:v>1.5394511442668048</x:v>
      </x:c>
      <x:c r="L13" s="36" t="n">
        <x:f>I13*G13</x:f>
        <x:v>5.7857857857857855</x:v>
      </x:c>
      <x:c r="M13" s="36" t="n">
        <x:f>I13*H13</x:f>
        <x:v>9.019019019019018</x:v>
      </x:c>
      <x:c r="N13" s="36" t="n">
        <x:f>L13/(L13+SUMIF($A$2:$A$26,A13,$M$2:$M$26)-M13)*100</x:f>
        <x:v>0.9457425224163883</x:v>
      </x:c>
      <x:c r="O13" s="36" t="n">
        <x:f>M13/(M13+SUMIF($A$2:$A$26,A13,$L$2:$L$26)-L13)*100</x:f>
        <x:v>2.751926501266008</x:v>
      </x:c>
      <x:c r="P13" s="36" t="n">
        <x:f>K13-I13</x:f>
        <x:v>-0.1622505574348967</x:v>
      </x:c>
      <x:c r="Q13" s="24" t="str">
        <x:v>Spitz et al. 2010; Lawson et al. 2018</x:v>
      </x:c>
      <x:c r="R13" s="24" t="str">
        <x:v>Legacy Macrura category treated as decapod shrimps/prawns with ecology unspecified.</x:v>
      </x:c>
      <x:c r="S13" s="26" t="n">
        <x:v>0.3</x:v>
      </x:c>
    </x:row>
    <x:row r="14">
      <x:c r="A14" s="24" t="str">
        <x:v>Scomber japonicus</x:v>
      </x:c>
      <x:c r="B14" s="24" t="str">
        <x:v>Anomura</x:v>
      </x:c>
      <x:c r="C14" s="28" t="n">
        <x:v>14</x:v>
      </x:c>
      <x:c r="D14" s="24" t="str">
        <x:v>Energy proxy group</x:v>
      </x:c>
      <x:c r="E14" s="24" t="str">
        <x:v>Benthic decapods</x:v>
      </x:c>
      <x:c r="F14" s="32" t="n">
        <x:v>3.07</x:v>
      </x:c>
      <x:c r="G14" s="32" t="n">
        <x:v>1.75</x:v>
      </x:c>
      <x:c r="H14" s="32" t="n">
        <x:v>5.16</x:v>
      </x:c>
      <x:c r="I14" s="36" t="n">
        <x:f>C14/SUMIF($A$2:$A$26,A14,$C$2:$C$26)*100</x:f>
        <x:v>14.014014014014014</x:v>
      </x:c>
      <x:c r="J14" s="36" t="n">
        <x:f>I14*F14</x:f>
        <x:v>43.02302302302302</x:v>
      </x:c>
      <x:c r="K14" s="36" t="n">
        <x:f>J14/SUMIF($A$2:$A$26,A14,$J$2:$J$26)*100</x:f>
        <x:v>9.803765028980186</x:v>
      </x:c>
      <x:c r="L14" s="36" t="n">
        <x:f>I14*G14</x:f>
        <x:v>24.524524524524526</x:v>
      </x:c>
      <x:c r="M14" s="36" t="n">
        <x:f>I14*H14</x:f>
        <x:v>72.31231231231232</x:v>
      </x:c>
      <x:c r="N14" s="36" t="n">
        <x:f>L14/(L14+SUMIF($A$2:$A$26,A14,$M$2:$M$26)-M14)*100</x:f>
        <x:v>4.323656578134652</x:v>
      </x:c>
      <x:c r="O14" s="36" t="n">
        <x:f>M14/(M14+SUMIF($A$2:$A$26,A14,$L$2:$L$26)-L14)*100</x:f>
        <x:v>19.42368861869718</x:v>
      </x:c>
      <x:c r="P14" s="36" t="n">
        <x:f>K14-I14</x:f>
        <x:v>-4.210248985033829</x:v>
      </x:c>
      <x:c r="Q14" s="24" t="str">
        <x:v>Nitschke et al. 2026; Lawson et al. 2018</x:v>
      </x:c>
      <x:c r="R14" s="24" t="str">
        <x:v>Anomuran prey in Table 1 are Galatheidae/unidentified Anomura; benthic-decappod proxy used.</x:v>
      </x:c>
      <x:c r="S14" s="26" t="n">
        <x:v>2.8</x:v>
      </x:c>
    </x:row>
    <x:row r="15">
      <x:c r="A15" s="24" t="str">
        <x:v>Scomber japonicus</x:v>
      </x:c>
      <x:c r="B15" s="24" t="str">
        <x:v>Amphipoda</x:v>
      </x:c>
      <x:c r="C15" s="28" t="n">
        <x:v>0.5</x:v>
      </x:c>
      <x:c r="D15" s="24" t="str">
        <x:v>Energy proxy group</x:v>
      </x:c>
      <x:c r="E15" s="24" t="str">
        <x:v>Benthopelagic amphipods</x:v>
      </x:c>
      <x:c r="F15" s="32" t="n">
        <x:v>1.92</x:v>
      </x:c>
      <x:c r="G15" s="32" t="n">
        <x:v>1.22</x:v>
      </x:c>
      <x:c r="H15" s="32" t="n">
        <x:v>2.41</x:v>
      </x:c>
      <x:c r="I15" s="36" t="n">
        <x:f>C15/SUMIF($A$2:$A$26,A15,$C$2:$C$26)*100</x:f>
        <x:v>0.5005005005005005</x:v>
      </x:c>
      <x:c r="J15" s="36" t="n">
        <x:f>I15*F15</x:f>
        <x:v>0.9609609609609611</x:v>
      </x:c>
      <x:c r="K15" s="36" t="n">
        <x:f>J15/SUMIF($A$2:$A$26,A15,$J$2:$J$26)*100</x:f>
        <x:v>0.21897660371849648</x:v>
      </x:c>
      <x:c r="L15" s="36" t="n">
        <x:f>I15*G15</x:f>
        <x:v>0.6106106106106106</x:v>
      </x:c>
      <x:c r="M15" s="36" t="n">
        <x:f>I15*H15</x:f>
        <x:v>1.2062062062062064</x:v>
      </x:c>
      <x:c r="N15" s="36" t="n">
        <x:f>L15/(L15+SUMIF($A$2:$A$26,A15,$M$2:$M$26)-M15)*100</x:f>
        <x:v>0.09938171539357603</x:v>
      </x:c>
      <x:c r="O15" s="36" t="n">
        <x:f>M15/(M15+SUMIF($A$2:$A$26,A15,$L$2:$L$26)-L15)*100</x:f>
        <x:v>0.37102952224945507</x:v>
      </x:c>
      <x:c r="P15" s="36" t="n">
        <x:f>K15-I15</x:f>
        <x:v>-0.28152389678200407</x:v>
      </x:c>
      <x:c r="Q15" s="24" t="str">
        <x:v>Nitschke et al. 2026</x:v>
      </x:c>
      <x:c r="R15" s="24" t="str">
        <x:v>Amphipod group mapped to the PECC amphipod proxy.</x:v>
      </x:c>
      <x:c r="S15" s="26" t="n">
        <x:v>1</x:v>
      </x:c>
    </x:row>
    <x:row r="16">
      <x:c r="A16" s="24" t="str">
        <x:v>Scomber japonicus</x:v>
      </x:c>
      <x:c r="B16" s="24" t="str">
        <x:v>Pisces</x:v>
      </x:c>
      <x:c r="C16" s="28" t="n">
        <x:v>25.9</x:v>
      </x:c>
      <x:c r="D16" s="24" t="str">
        <x:v>Broad taxonomic group</x:v>
      </x:c>
      <x:c r="E16" s="24" t="str">
        <x:v>Teleostei</x:v>
      </x:c>
      <x:c r="F16" s="32" t="n">
        <x:v>5.62</x:v>
      </x:c>
      <x:c r="G16" s="32" t="n">
        <x:v>2.1</x:v>
      </x:c>
      <x:c r="H16" s="32" t="n">
        <x:v>11.05</x:v>
      </x:c>
      <x:c r="I16" s="36" t="n">
        <x:f>C16/SUMIF($A$2:$A$26,A16,$C$2:$C$26)*100</x:f>
        <x:v>25.925925925925924</x:v>
      </x:c>
      <x:c r="J16" s="36" t="n">
        <x:f>I16*F16</x:f>
        <x:v>145.7037037037037</x:v>
      </x:c>
      <x:c r="K16" s="36" t="n">
        <x:f>J16/SUMIF($A$2:$A$26,A16,$J$2:$J$26)*100</x:f>
        <x:v>33.20187133755928</x:v>
      </x:c>
      <x:c r="L16" s="36" t="n">
        <x:f>I16*G16</x:f>
        <x:v>54.44444444444444</x:v>
      </x:c>
      <x:c r="M16" s="36" t="n">
        <x:f>I16*H16</x:f>
        <x:v>286.48148148148147</x:v>
      </x:c>
      <x:c r="N16" s="36" t="n">
        <x:f>L16/(L16+SUMIF($A$2:$A$26,A16,$M$2:$M$26)-M16)*100</x:f>
        <x:v>14.216448632330072</x:v>
      </x:c>
      <x:c r="O16" s="36" t="n">
        <x:f>M16/(M16+SUMIF($A$2:$A$26,A16,$L$2:$L$26)-L16)*100</x:f>
        <x:v>51.47558733915846</x:v>
      </x:c>
      <x:c r="P16" s="36" t="n">
        <x:f>K16-I16</x:f>
        <x:v>7.275945411633359</x:v>
      </x:c>
      <x:c r="Q16" s="24" t="str">
        <x:v>Spitz et al. 2010; Wuenschel et al. 2024; Nitschke et al. 2026; Lawson et al. 2018</x:v>
      </x:c>
      <x:c r="R16" s="24" t="str">
        <x:v>Broad Teleostei used because the published Pisces %W aggregates identified and unidentified fish prey; prey-level ED assignment requires the original wet-mass records.</x:v>
      </x:c>
      <x:c r="S16" s="26" t="n">
        <x:v>10.4</x:v>
      </x:c>
    </x:row>
    <x:row r="17">
      <x:c r="A17" s="24" t="str">
        <x:v>Trachurus japonicus</x:v>
      </x:c>
      <x:c r="B17" s="24" t="str">
        <x:v>Polychaeta</x:v>
      </x:c>
      <x:c r="C17" s="28" t="n">
        <x:v>5.8</x:v>
      </x:c>
      <x:c r="D17" s="24" t="str">
        <x:v>Energy proxy group</x:v>
      </x:c>
      <x:c r="E17" s="24" t="str">
        <x:v>Other benthic polychaetes</x:v>
      </x:c>
      <x:c r="F17" s="32" t="n">
        <x:v>2.045</x:v>
      </x:c>
      <x:c r="G17" s="32" t="n">
        <x:v>0.5</x:v>
      </x:c>
      <x:c r="H17" s="32" t="n">
        <x:v>3.06</x:v>
      </x:c>
      <x:c r="I17" s="36" t="n">
        <x:f>C17/SUMIF($A$2:$A$26,A17,$C$2:$C$26)*100</x:f>
        <x:v>5.8</x:v>
      </x:c>
      <x:c r="J17" s="36" t="n">
        <x:f>I17*F17</x:f>
        <x:v>11.860999999999999</x:v>
      </x:c>
      <x:c r="K17" s="36" t="n">
        <x:f>J17/SUMIF($A$2:$A$26,A17,$J$2:$J$26)*100</x:f>
        <x:v>2.691051985561205</x:v>
      </x:c>
      <x:c r="L17" s="36" t="n">
        <x:f>I17*G17</x:f>
        <x:v>2.9</x:v>
      </x:c>
      <x:c r="M17" s="36" t="n">
        <x:f>I17*H17</x:f>
        <x:v>17.748</x:v>
      </x:c>
      <x:c r="N17" s="36" t="n">
        <x:f>L17/(L17+SUMIF($A$2:$A$26,A17,$M$2:$M$26)-M17)*100</x:f>
        <x:v>0.39070394072078146</x:v>
      </x:c>
      <x:c r="O17" s="36" t="n">
        <x:f>M17/(M17+SUMIF($A$2:$A$26,A17,$L$2:$L$26)-L17)*100</x:f>
        <x:v>7.20719257352165</x:v>
      </x:c>
      <x:c r="P17" s="36" t="n">
        <x:f>K17-I17</x:f>
        <x:v>-3.108948014438795</x:v>
      </x:c>
      <x:c r="Q17" s="24" t="str">
        <x:v>Nitschke et al. 2026; Lawson et al. 2018</x:v>
      </x:c>
      <x:c r="R17" s="24" t="str">
        <x:v>Polychaeta is retained at group level; PECC polychaete proxy used.</x:v>
      </x:c>
      <x:c r="S17" s="26" t="n">
        <x:v>0.7</x:v>
      </x:c>
    </x:row>
    <x:row r="18">
      <x:c r="A18" s="24" t="str">
        <x:v>Trachurus japonicus</x:v>
      </x:c>
      <x:c r="B18" s="24" t="str">
        <x:v>Gastropoda</x:v>
      </x:c>
      <x:c r="C18" s="28" t="n">
        <x:v>5.2</x:v>
      </x:c>
      <x:c r="D18" s="24" t="str">
        <x:v>Broad taxonomic group</x:v>
      </x:c>
      <x:c r="E18" s="24" t="str">
        <x:v>Mollusca (non-cephalopods)</x:v>
      </x:c>
      <x:c r="F18" s="32" t="n">
        <x:v>2.14</x:v>
      </x:c>
      <x:c r="G18" s="32" t="n">
        <x:v>1.07</x:v>
      </x:c>
      <x:c r="H18" s="32" t="n">
        <x:v>3.69</x:v>
      </x:c>
      <x:c r="I18" s="36" t="n">
        <x:f>C18/SUMIF($A$2:$A$26,A18,$C$2:$C$26)*100</x:f>
        <x:v>5.2</x:v>
      </x:c>
      <x:c r="J18" s="36" t="n">
        <x:f>I18*F18</x:f>
        <x:v>11.128000000000002</x:v>
      </x:c>
      <x:c r="K18" s="36" t="n">
        <x:f>J18/SUMIF($A$2:$A$26,A18,$J$2:$J$26)*100</x:f>
        <x:v>2.5247471963009103</x:v>
      </x:c>
      <x:c r="L18" s="36" t="n">
        <x:f>I18*G18</x:f>
        <x:v>5.564000000000001</x:v>
      </x:c>
      <x:c r="M18" s="36" t="n">
        <x:f>I18*H18</x:f>
        <x:v>19.188</x:v>
      </x:c>
      <x:c r="N18" s="36" t="n">
        <x:f>L18/(L18+SUMIF($A$2:$A$26,A18,$M$2:$M$26)-M18)*100</x:f>
        <x:v>0.7483785579589873</x:v>
      </x:c>
      <x:c r="O18" s="36" t="n">
        <x:f>M18/(M18+SUMIF($A$2:$A$26,A18,$L$2:$L$26)-L18)*100</x:f>
        <x:v>7.830877851691629</x:v>
      </x:c>
      <x:c r="P18" s="36" t="n">
        <x:f>K18-I18</x:f>
        <x:v>-2.67525280369909</x:v>
      </x:c>
      <x:c r="Q18" s="24" t="str">
        <x:v>Nitschke et al. 2026; Cauffopé &amp; Heymans 2005</x:v>
      </x:c>
      <x:c r="R18" s="24" t="str">
        <x:v>Broad Mollusca used because the published Gastropoda include pelagic Cavoliniidae as well as unidentified gastropods; the benthic-gastropod proxy would be inappropriate for the aggregate group.</x:v>
      </x:c>
      <x:c r="S18" s="26" t="n">
        <x:v>1.5</x:v>
      </x:c>
    </x:row>
    <x:row r="19">
      <x:c r="A19" s="24" t="str">
        <x:v>Trachurus japonicus</x:v>
      </x:c>
      <x:c r="B19" s="24" t="str">
        <x:v>Cephalopoda</x:v>
      </x:c>
      <x:c r="C19" s="28" t="n">
        <x:v>1.9</x:v>
      </x:c>
      <x:c r="D19" s="24" t="str">
        <x:v>Broad taxonomic group</x:v>
      </x:c>
      <x:c r="E19" s="24" t="str">
        <x:v>Cephalopoda</x:v>
      </x:c>
      <x:c r="F19" s="32" t="n">
        <x:v>4.7</x:v>
      </x:c>
      <x:c r="G19" s="32" t="n">
        <x:v>3.6</x:v>
      </x:c>
      <x:c r="H19" s="32" t="n">
        <x:v>5.59</x:v>
      </x:c>
      <x:c r="I19" s="36" t="n">
        <x:f>C19/SUMIF($A$2:$A$26,A19,$C$2:$C$26)*100</x:f>
        <x:v>1.9</x:v>
      </x:c>
      <x:c r="J19" s="36" t="n">
        <x:f>I19*F19</x:f>
        <x:v>8.93</x:v>
      </x:c>
      <x:c r="K19" s="36" t="n">
        <x:f>J19/SUMIF($A$2:$A$26,A19,$J$2:$J$26)*100</x:f>
        <x:v>2.0260597109064635</x:v>
      </x:c>
      <x:c r="L19" s="36" t="n">
        <x:f>I19*G19</x:f>
        <x:v>6.84</x:v>
      </x:c>
      <x:c r="M19" s="36" t="n">
        <x:f>I19*H19</x:f>
        <x:v>10.620999999999999</x:v>
      </x:c>
      <x:c r="N19" s="36" t="n">
        <x:f>L19/(L19+SUMIF($A$2:$A$26,A19,$M$2:$M$26)-M19)*100</x:f>
        <x:v>0.9079842881549202</x:v>
      </x:c>
      <x:c r="O19" s="36" t="n">
        <x:f>M19/(M19+SUMIF($A$2:$A$26,A19,$L$2:$L$26)-L19)*100</x:f>
        <x:v>4.515980900304863</x:v>
      </x:c>
      <x:c r="P19" s="36" t="n">
        <x:f>K19-I19</x:f>
        <x:v>0.12605971090646362</x:v>
      </x:c>
      <x:c r="Q19" s="24" t="str">
        <x:v>Spitz et al. 2010; Price et al. 2024; Wuenschel et al. 2024; Cauffopé &amp; Heymans 2005</x:v>
      </x:c>
      <x:c r="R19" s="24" t="str">
        <x:v>Aggregate Cephalopoda %W combines identified and unidentified prey; broad cephalopod ED used.</x:v>
      </x:c>
      <x:c r="S19" s="26" t="n">
        <x:v>0.1</x:v>
      </x:c>
    </x:row>
    <x:row r="20">
      <x:c r="A20" s="24" t="str">
        <x:v>Trachurus japonicus</x:v>
      </x:c>
      <x:c r="B20" s="24" t="str">
        <x:v>Mysidacea</x:v>
      </x:c>
      <x:c r="C20" s="28" t="n">
        <x:v>4.8</x:v>
      </x:c>
      <x:c r="D20" s="24" t="str">
        <x:v>Energy proxy group</x:v>
      </x:c>
      <x:c r="E20" s="24" t="str">
        <x:v>Benthopelagic mysids</x:v>
      </x:c>
      <x:c r="F20" s="32" t="n">
        <x:v>3.515</x:v>
      </x:c>
      <x:c r="G20" s="32" t="n">
        <x:v>3.26</x:v>
      </x:c>
      <x:c r="H20" s="32" t="n">
        <x:v>3.77</x:v>
      </x:c>
      <x:c r="I20" s="36" t="n">
        <x:f>C20/SUMIF($A$2:$A$26,A20,$C$2:$C$26)*100</x:f>
        <x:v>4.8</x:v>
      </x:c>
      <x:c r="J20" s="36" t="n">
        <x:f>I20*F20</x:f>
        <x:v>16.872</x:v>
      </x:c>
      <x:c r="K20" s="36" t="n">
        <x:f>J20/SUMIF($A$2:$A$26,A20,$J$2:$J$26)*100</x:f>
        <x:v>3.8279596240105094</x:v>
      </x:c>
      <x:c r="L20" s="36" t="n">
        <x:f>I20*G20</x:f>
        <x:v>15.647999999999998</x:v>
      </x:c>
      <x:c r="M20" s="36" t="n">
        <x:f>I20*H20</x:f>
        <x:v>18.096</x:v>
      </x:c>
      <x:c r="N20" s="36" t="n">
        <x:f>L20/(L20+SUMIF($A$2:$A$26,A20,$M$2:$M$26)-M20)*100</x:f>
        <x:v>2.073544027032399</x:v>
      </x:c>
      <x:c r="O20" s="36" t="n">
        <x:f>M20/(M20+SUMIF($A$2:$A$26,A20,$L$2:$L$26)-L20)*100</x:f>
        <x:v>7.738161416952457</x:v>
      </x:c>
      <x:c r="P20" s="36" t="n">
        <x:f>K20-I20</x:f>
        <x:v>-0.9720403759894904</x:v>
      </x:c>
      <x:c r="Q20" s="24" t="str">
        <x:v>Lawson et al. 2018; Cauffopé &amp; Heymans 2005</x:v>
      </x:c>
      <x:c r="R20" s="24" t="str">
        <x:v>Mysid group maps directly to the PECC mysid proxy.</x:v>
      </x:c>
      <x:c r="S20" s="26" t="n">
        <x:v>1</x:v>
      </x:c>
    </x:row>
    <x:row r="21">
      <x:c r="A21" s="24" t="str">
        <x:v>Trachurus japonicus</x:v>
      </x:c>
      <x:c r="B21" s="24" t="str">
        <x:v>Euphausiacea</x:v>
      </x:c>
      <x:c r="C21" s="28" t="n">
        <x:v>4.4</x:v>
      </x:c>
      <x:c r="D21" s="24" t="str">
        <x:v>Energy proxy group</x:v>
      </x:c>
      <x:c r="E21" s="24" t="str">
        <x:v>Pelagic planktonic euphausiids</x:v>
      </x:c>
      <x:c r="F21" s="32" t="n">
        <x:v>4.22</x:v>
      </x:c>
      <x:c r="G21" s="32" t="n">
        <x:v>4.22</x:v>
      </x:c>
      <x:c r="H21" s="32" t="n">
        <x:v>4.22</x:v>
      </x:c>
      <x:c r="I21" s="36" t="n">
        <x:f>C21/SUMIF($A$2:$A$26,A21,$C$2:$C$26)*100</x:f>
        <x:v>4.4</x:v>
      </x:c>
      <x:c r="J21" s="36" t="n">
        <x:f>I21*F21</x:f>
        <x:v>18.568</x:v>
      </x:c>
      <x:c r="K21" s="36" t="n">
        <x:f>J21/SUMIF($A$2:$A$26,A21,$J$2:$J$26)*100</x:f>
        <x:v>4.21275215141223</x:v>
      </x:c>
      <x:c r="L21" s="36" t="n">
        <x:f>I21*G21</x:f>
        <x:v>18.568</x:v>
      </x:c>
      <x:c r="M21" s="36" t="n">
        <x:f>I21*H21</x:f>
        <x:v>18.568</x:v>
      </x:c>
      <x:c r="N21" s="36" t="n">
        <x:f>L21/(L21+SUMIF($A$2:$A$26,A21,$M$2:$M$26)-M21)*100</x:f>
        <x:v>2.4525226588896025</x:v>
      </x:c>
      <x:c r="O21" s="36" t="n">
        <x:f>M21/(M21+SUMIF($A$2:$A$26,A21,$L$2:$L$26)-L21)*100</x:f>
        <x:v>8.023992463462486</x:v>
      </x:c>
      <x:c r="P21" s="36" t="n">
        <x:f>K21-I21</x:f>
        <x:v>-0.18724784858777</x:v>
      </x:c>
      <x:c r="Q21" s="24" t="str">
        <x:v>Price et al. 2024</x:v>
      </x:c>
      <x:c r="R21" s="24" t="str">
        <x:v>Euphausiacea maps directly to the PECC euphausiid proxy.</x:v>
      </x:c>
      <x:c r="S21" s="26" t="n">
        <x:v>3.4</x:v>
      </x:c>
    </x:row>
    <x:row r="22">
      <x:c r="A22" s="24" t="str">
        <x:v>Trachurus japonicus</x:v>
      </x:c>
      <x:c r="B22" s="24" t="str">
        <x:v>Macrura</x:v>
      </x:c>
      <x:c r="C22" s="28" t="n">
        <x:v>19.8</x:v>
      </x:c>
      <x:c r="D22" s="24" t="str">
        <x:v>Energy proxy group</x:v>
      </x:c>
      <x:c r="E22" s="24" t="str">
        <x:v>Decapods (ecology unspecified)</x:v>
      </x:c>
      <x:c r="F22" s="32" t="n">
        <x:v>3.97</x:v>
      </x:c>
      <x:c r="G22" s="32" t="n">
        <x:v>3.4</x:v>
      </x:c>
      <x:c r="H22" s="32" t="n">
        <x:v>5.3</x:v>
      </x:c>
      <x:c r="I22" s="36" t="n">
        <x:f>C22/SUMIF($A$2:$A$26,A22,$C$2:$C$26)*100</x:f>
        <x:v>19.8</x:v>
      </x:c>
      <x:c r="J22" s="36" t="n">
        <x:f>I22*F22</x:f>
        <x:v>78.60600000000001</x:v>
      </x:c>
      <x:c r="K22" s="36" t="n">
        <x:f>J22/SUMIF($A$2:$A$26,A22,$J$2:$J$26)*100</x:f>
        <x:v>17.834316868478552</x:v>
      </x:c>
      <x:c r="L22" s="36" t="n">
        <x:f>I22*G22</x:f>
        <x:v>67.32000000000001</x:v>
      </x:c>
      <x:c r="M22" s="36" t="n">
        <x:f>I22*H22</x:f>
        <x:v>104.94</x:v>
      </x:c>
      <x:c r="N22" s="36" t="n">
        <x:f>L22/(L22+SUMIF($A$2:$A$26,A22,$M$2:$M$26)-M22)*100</x:f>
        <x:v>9.356783668159416</x:v>
      </x:c>
      <x:c r="O22" s="36" t="n">
        <x:f>M22/(M22+SUMIF($A$2:$A$26,A22,$L$2:$L$26)-L22)*100</x:f>
        <x:v>39.0073821861084</x:v>
      </x:c>
      <x:c r="P22" s="36" t="n">
        <x:f>K22-I22</x:f>
        <x:v>-1.9656831315214482</x:v>
      </x:c>
      <x:c r="Q22" s="24" t="str">
        <x:v>Spitz et al. 2010; Lawson et al. 2018</x:v>
      </x:c>
      <x:c r="R22" s="24" t="str">
        <x:v>Legacy Macrura category treated as decapod shrimps/prawns with ecology unspecified.</x:v>
      </x:c>
      <x:c r="S22" s="26" t="n">
        <x:v>8.8</x:v>
      </x:c>
    </x:row>
    <x:row r="23">
      <x:c r="A23" s="24" t="str">
        <x:v>Trachurus japonicus</x:v>
      </x:c>
      <x:c r="B23" s="24" t="str">
        <x:v>Anomura</x:v>
      </x:c>
      <x:c r="C23" s="28" t="n">
        <x:v>0.1</x:v>
      </x:c>
      <x:c r="D23" s="24" t="str">
        <x:v>Energy proxy group</x:v>
      </x:c>
      <x:c r="E23" s="24" t="str">
        <x:v>Benthic decapods</x:v>
      </x:c>
      <x:c r="F23" s="32" t="n">
        <x:v>3.07</x:v>
      </x:c>
      <x:c r="G23" s="32" t="n">
        <x:v>1.75</x:v>
      </x:c>
      <x:c r="H23" s="32" t="n">
        <x:v>5.16</x:v>
      </x:c>
      <x:c r="I23" s="36" t="n">
        <x:f>C23/SUMIF($A$2:$A$26,A23,$C$2:$C$26)*100</x:f>
        <x:v>0.1</x:v>
      </x:c>
      <x:c r="J23" s="36" t="n">
        <x:f>I23*F23</x:f>
        <x:v>0.307</x:v>
      </x:c>
      <x:c r="K23" s="36" t="n">
        <x:f>J23/SUMIF($A$2:$A$26,A23,$J$2:$J$26)*100</x:f>
        <x:v>0.06965289263698592</x:v>
      </x:c>
      <x:c r="L23" s="36" t="n">
        <x:f>I23*G23</x:f>
        <x:v>0.17500000000000002</x:v>
      </x:c>
      <x:c r="M23" s="36" t="n">
        <x:f>I23*H23</x:f>
        <x:v>0.516</x:v>
      </x:c>
      <x:c r="N23" s="36" t="n">
        <x:f>L23/(L23+SUMIF($A$2:$A$26,A23,$M$2:$M$26)-M23)*100</x:f>
        <x:v>0.02312499256696668</x:v>
      </x:c>
      <x:c r="O23" s="36" t="n">
        <x:f>M23/(M23+SUMIF($A$2:$A$26,A23,$L$2:$L$26)-L23)*100</x:f>
        <x:v>0.22265660396898346</x:v>
      </x:c>
      <x:c r="P23" s="36" t="n">
        <x:f>K23-I23</x:f>
        <x:v>-0.03034710736301409</x:v>
      </x:c>
      <x:c r="Q23" s="24" t="str">
        <x:v>Nitschke et al. 2026; Lawson et al. 2018</x:v>
      </x:c>
      <x:c r="R23" s="24" t="str">
        <x:v>Anomuran prey in Table 1 are Galatheidae/unidentified Anomura; benthic-decappod proxy used.</x:v>
      </x:c>
      <x:c r="S23" s="26"/>
    </x:row>
    <x:row r="24">
      <x:c r="A24" s="24" t="str">
        <x:v>Trachurus japonicus</x:v>
      </x:c>
      <x:c r="B24" s="24" t="str">
        <x:v>Brachyura</x:v>
      </x:c>
      <x:c r="C24" s="28" t="n">
        <x:v>0.3</x:v>
      </x:c>
      <x:c r="D24" s="24" t="str">
        <x:v>Energy proxy group</x:v>
      </x:c>
      <x:c r="E24" s="24" t="str">
        <x:v>Benthic decapods</x:v>
      </x:c>
      <x:c r="F24" s="32" t="n">
        <x:v>3.07</x:v>
      </x:c>
      <x:c r="G24" s="32" t="n">
        <x:v>1.75</x:v>
      </x:c>
      <x:c r="H24" s="32" t="n">
        <x:v>5.16</x:v>
      </x:c>
      <x:c r="I24" s="36" t="n">
        <x:f>C24/SUMIF($A$2:$A$26,A24,$C$2:$C$26)*100</x:f>
        <x:v>0.3</x:v>
      </x:c>
      <x:c r="J24" s="36" t="n">
        <x:f>I24*F24</x:f>
        <x:v>0.9209999999999999</x:v>
      </x:c>
      <x:c r="K24" s="36" t="n">
        <x:f>J24/SUMIF($A$2:$A$26,A24,$J$2:$J$26)*100</x:f>
        <x:v>0.20895867791095776</x:v>
      </x:c>
      <x:c r="L24" s="36" t="n">
        <x:f>I24*G24</x:f>
        <x:v>0.525</x:v>
      </x:c>
      <x:c r="M24" s="36" t="n">
        <x:f>I24*H24</x:f>
        <x:v>1.548</x:v>
      </x:c>
      <x:c r="N24" s="36" t="n">
        <x:f>L24/(L24+SUMIF($A$2:$A$26,A24,$M$2:$M$26)-M24)*100</x:f>
        <x:v>0.06943755579803591</x:v>
      </x:c>
      <x:c r="O24" s="36" t="n">
        <x:f>M24/(M24+SUMIF($A$2:$A$26,A24,$L$2:$L$26)-L24)*100</x:f>
        <x:v>0.6660098352615208</x:v>
      </x:c>
      <x:c r="P24" s="36" t="n">
        <x:f>K24-I24</x:f>
        <x:v>-0.09104132208904223</x:v>
      </x:c>
      <x:c r="Q24" s="24" t="str">
        <x:v>Nitschke et al. 2026; Lawson et al. 2018</x:v>
      </x:c>
      <x:c r="R24" s="24" t="str">
        <x:v>Crab prey mapped to benthic decapod proxy.</x:v>
      </x:c>
      <x:c r="S24" s="26"/>
    </x:row>
    <x:row r="25">
      <x:c r="A25" s="24" t="str">
        <x:v>Trachurus japonicus</x:v>
      </x:c>
      <x:c r="B25" s="24" t="str">
        <x:v>Amphipoda</x:v>
      </x:c>
      <x:c r="C25" s="28" t="n">
        <x:v>8.3</x:v>
      </x:c>
      <x:c r="D25" s="24" t="str">
        <x:v>Energy proxy group</x:v>
      </x:c>
      <x:c r="E25" s="24" t="str">
        <x:v>Benthopelagic amphipods</x:v>
      </x:c>
      <x:c r="F25" s="32" t="n">
        <x:v>1.92</x:v>
      </x:c>
      <x:c r="G25" s="32" t="n">
        <x:v>1.22</x:v>
      </x:c>
      <x:c r="H25" s="32" t="n">
        <x:v>2.41</x:v>
      </x:c>
      <x:c r="I25" s="36" t="n">
        <x:f>C25/SUMIF($A$2:$A$26,A25,$C$2:$C$26)*100</x:f>
        <x:v>8.3</x:v>
      </x:c>
      <x:c r="J25" s="36" t="n">
        <x:f>I25*F25</x:f>
        <x:v>15.936</x:v>
      </x:c>
      <x:c r="K25" s="36" t="n">
        <x:f>J25/SUMIF($A$2:$A$26,A25,$J$2:$J$26)*100</x:f>
        <x:v>3.615597710302956</x:v>
      </x:c>
      <x:c r="L25" s="36" t="n">
        <x:f>I25*G25</x:f>
        <x:v>10.126000000000001</x:v>
      </x:c>
      <x:c r="M25" s="36" t="n">
        <x:f>I25*H25</x:f>
        <x:v>20.003000000000004</x:v>
      </x:c>
      <x:c r="N25" s="36" t="n">
        <x:f>L25/(L25+SUMIF($A$2:$A$26,A25,$M$2:$M$26)-M25)*100</x:f>
        <x:v>1.3551546329666864</x:v>
      </x:c>
      <x:c r="O25" s="36" t="n">
        <x:f>M25/(M25+SUMIF($A$2:$A$26,A25,$L$2:$L$26)-L25)*100</x:f>
        <x:v>8.290264958575616</x:v>
      </x:c>
      <x:c r="P25" s="36" t="n">
        <x:f>K25-I25</x:f>
        <x:v>-4.6844022896970445</x:v>
      </x:c>
      <x:c r="Q25" s="24" t="str">
        <x:v>Nitschke et al. 2026</x:v>
      </x:c>
      <x:c r="R25" s="24" t="str">
        <x:v>Amphipod group mapped to the PECC amphipod proxy.</x:v>
      </x:c>
      <x:c r="S25" s="26" t="n">
        <x:v>26.9</x:v>
      </x:c>
    </x:row>
    <x:row r="26">
      <x:c r="A26" s="24" t="str">
        <x:v>Trachurus japonicus</x:v>
      </x:c>
      <x:c r="B26" s="24" t="str">
        <x:v>Pisces</x:v>
      </x:c>
      <x:c r="C26" s="28" t="n">
        <x:v>49.4</x:v>
      </x:c>
      <x:c r="D26" s="24" t="str">
        <x:v>Broad taxonomic group</x:v>
      </x:c>
      <x:c r="E26" s="24" t="str">
        <x:v>Teleostei</x:v>
      </x:c>
      <x:c r="F26" s="32" t="n">
        <x:v>5.62</x:v>
      </x:c>
      <x:c r="G26" s="32" t="n">
        <x:v>2.1</x:v>
      </x:c>
      <x:c r="H26" s="32" t="n">
        <x:v>11.05</x:v>
      </x:c>
      <x:c r="I26" s="36" t="n">
        <x:f>C26/SUMIF($A$2:$A$26,A26,$C$2:$C$26)*100</x:f>
        <x:v>49.4</x:v>
      </x:c>
      <x:c r="J26" s="36" t="n">
        <x:f>I26*F26</x:f>
        <x:v>277.628</x:v>
      </x:c>
      <x:c r="K26" s="36" t="n">
        <x:f>J26/SUMIF($A$2:$A$26,A26,$J$2:$J$26)*100</x:f>
        <x:v>62.98890318247924</x:v>
      </x:c>
      <x:c r="L26" s="36" t="n">
        <x:f>I26*G26</x:f>
        <x:v>103.74</x:v>
      </x:c>
      <x:c r="M26" s="36" t="n">
        <x:f>I26*H26</x:f>
        <x:v>545.87</x:v>
      </x:c>
      <x:c r="N26" s="36" t="n">
        <x:f>L26/(L26+SUMIF($A$2:$A$26,A26,$M$2:$M$26)-M26)*100</x:f>
        <x:v>32.93667928170481</x:v>
      </x:c>
      <x:c r="O26" s="36" t="n">
        <x:f>M26/(M26+SUMIF($A$2:$A$26,A26,$L$2:$L$26)-L26)*100</x:f>
        <x:v>81.04540811478525</x:v>
      </x:c>
      <x:c r="P26" s="36" t="n">
        <x:f>K26-I26</x:f>
        <x:v>13.588903182479243</x:v>
      </x:c>
      <x:c r="Q26" s="24" t="str">
        <x:v>Spitz et al. 2010; Wuenschel et al. 2024; Nitschke et al. 2026; Lawson et al. 2018</x:v>
      </x:c>
      <x:c r="R26" s="24" t="str">
        <x:v>Broad Teleostei used because the published Pisces %W aggregates identified and unidentified fish prey; prey-level ED assignment requires the original wet-mass records.</x:v>
      </x:c>
      <x:c r="S26" s="26" t="n">
        <x:v>55.6</x:v>
      </x:c>
    </x:row>
  </x:sheetData>
  <x:conditionalFormatting sqref="P2:P2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34a01f445344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Published %W versus PECC estimated %E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Predator</x:v>
      </x:c>
      <x:c r="B3" s="12" t="str">
        <x:v>Numeric %W coverage</x:v>
      </x:c>
      <x:c r="C3" s="12" t="str">
        <x:v>Weighted mean ED (kJ/g)</x:v>
      </x:c>
      <x:c r="D3" s="12" t="str">
        <x:v>Pisces %W</x:v>
      </x:c>
      <x:c r="E3" s="12" t="str">
        <x:v>Pisces %E</x:v>
      </x:c>
      <x:c r="F3" s="12" t="str">
        <x:v>Euphausiacea %W</x:v>
      </x:c>
      <x:c r="G3" s="12" t="str">
        <x:v>Euphausiacea %E</x:v>
      </x:c>
      <x:c r="H3" s="12" t="str">
        <x:v>Key Δ (%E−%W)</x:v>
      </x:c>
    </x:row>
    <x:row r="4">
      <x:c r="A4" s="24" t="str">
        <x:v>Trichiurus japonicus</x:v>
      </x:c>
      <x:c r="B4" s="28" t="n">
        <x:f>SUMIF(CaseStudy_Results!$A$2:$A$26,A4,CaseStudy_Results!$C$2:$C$26)</x:f>
        <x:v>100.1</x:v>
      </x:c>
      <x:c r="C4" s="32" t="n">
        <x:f>SUMIF(CaseStudy_Results!$A$2:$A$26,A4,CaseStudy_Results!$J$2:$J$26)/100</x:f>
        <x:v>5.3930269730269735</x:v>
      </x:c>
      <x:c r="D4" s="36" t="n">
        <x:f>SUMIFS(CaseStudy_Results!$I$2:$I$26,CaseStudy_Results!$A$2:$A$26,A4,CaseStudy_Results!$B$2:$B$26,"Pisces")</x:f>
        <x:v>84.21578421578421</x:v>
      </x:c>
      <x:c r="E4" s="36" t="n">
        <x:f>SUMIFS(CaseStudy_Results!$K$2:$K$26,CaseStudy_Results!$A$2:$A$26,A4,CaseStudy_Results!$B$2:$B$26,"Pisces")</x:f>
        <x:v>87.76012240618552</x:v>
      </x:c>
      <x:c r="F4" s="36" t="n">
        <x:f>SUMIFS(CaseStudy_Results!$I$2:$I$26,CaseStudy_Results!$A$2:$A$26,A4,CaseStudy_Results!$B$2:$B$26,"Euphausiacea")</x:f>
        <x:v>14.285714285714288</x:v>
      </x:c>
      <x:c r="G4" s="36" t="n">
        <x:f>SUMIFS(CaseStudy_Results!$K$2:$K$26,CaseStudy_Results!$A$2:$A$26,A4,CaseStudy_Results!$B$2:$B$26,"Euphausiacea")</x:f>
        <x:v>11.178455918583587</x:v>
      </x:c>
      <x:c r="H4" s="36" t="n">
        <x:f>E4-D4</x:f>
        <x:v>3.544338190401305</x:v>
      </x:c>
    </x:row>
    <x:row r="5">
      <x:c r="A5" s="24" t="str">
        <x:v>Scomber japonicus</x:v>
      </x:c>
      <x:c r="B5" s="28" t="n">
        <x:f>SUMIF(CaseStudy_Results!$A$2:$A$26,A5,CaseStudy_Results!$C$2:$C$26)</x:f>
        <x:v>99.9</x:v>
      </x:c>
      <x:c r="C5" s="32" t="n">
        <x:f>SUMIF(CaseStudy_Results!$A$2:$A$26,A5,CaseStudy_Results!$J$2:$J$26)/100</x:f>
        <x:v>4.388418418418418</x:v>
      </x:c>
      <x:c r="D5" s="36" t="n">
        <x:f>SUMIFS(CaseStudy_Results!$I$2:$I$26,CaseStudy_Results!$A$2:$A$26,A5,CaseStudy_Results!$B$2:$B$26,"Pisces")</x:f>
        <x:v>25.925925925925924</x:v>
      </x:c>
      <x:c r="E5" s="36" t="n">
        <x:f>SUMIFS(CaseStudy_Results!$K$2:$K$26,CaseStudy_Results!$A$2:$A$26,A5,CaseStudy_Results!$B$2:$B$26,"Pisces")</x:f>
        <x:v>33.20187133755928</x:v>
      </x:c>
      <x:c r="F5" s="36" t="n">
        <x:f>SUMIFS(CaseStudy_Results!$I$2:$I$26,CaseStudy_Results!$A$2:$A$26,A5,CaseStudy_Results!$B$2:$B$26,"Euphausiacea")</x:f>
        <x:v>54.95495495495495</x:v>
      </x:c>
      <x:c r="G5" s="36" t="n">
        <x:f>SUMIFS(CaseStudy_Results!$K$2:$K$26,CaseStudy_Results!$A$2:$A$26,A5,CaseStudy_Results!$B$2:$B$26,"Euphausiacea")</x:f>
        <x:v>52.84589749613939</x:v>
      </x:c>
      <x:c r="H5" s="36" t="n">
        <x:f>E5-D5</x:f>
        <x:v>7.275945411633359</x:v>
      </x:c>
    </x:row>
    <x:row r="6">
      <x:c r="A6" s="24" t="str">
        <x:v>Trachurus japonicus</x:v>
      </x:c>
      <x:c r="B6" s="28" t="n">
        <x:f>SUMIF(CaseStudy_Results!$A$2:$A$26,A6,CaseStudy_Results!$C$2:$C$26)</x:f>
        <x:v>100</x:v>
      </x:c>
      <x:c r="C6" s="32" t="n">
        <x:f>SUMIF(CaseStudy_Results!$A$2:$A$26,A6,CaseStudy_Results!$J$2:$J$26)/100</x:f>
        <x:v>4.40757</x:v>
      </x:c>
      <x:c r="D6" s="36" t="n">
        <x:f>SUMIFS(CaseStudy_Results!$I$2:$I$26,CaseStudy_Results!$A$2:$A$26,A6,CaseStudy_Results!$B$2:$B$26,"Pisces")</x:f>
        <x:v>49.4</x:v>
      </x:c>
      <x:c r="E6" s="36" t="n">
        <x:f>SUMIFS(CaseStudy_Results!$K$2:$K$26,CaseStudy_Results!$A$2:$A$26,A6,CaseStudy_Results!$B$2:$B$26,"Pisces")</x:f>
        <x:v>62.98890318247924</x:v>
      </x:c>
      <x:c r="F6" s="36" t="n">
        <x:f>SUMIFS(CaseStudy_Results!$I$2:$I$26,CaseStudy_Results!$A$2:$A$26,A6,CaseStudy_Results!$B$2:$B$26,"Euphausiacea")</x:f>
        <x:v>4.4</x:v>
      </x:c>
      <x:c r="G6" s="36" t="n">
        <x:f>SUMIFS(CaseStudy_Results!$K$2:$K$26,CaseStudy_Results!$A$2:$A$26,A6,CaseStudy_Results!$B$2:$B$26,"Euphausiacea")</x:f>
        <x:v>4.21275215141223</x:v>
      </x:c>
      <x:c r="H6" s="36" t="n">
        <x:f>E6-D6</x:f>
        <x:v>13.588903182479243</x:v>
      </x:c>
    </x:row>
    <x:row r="7">
      <x:c r="A7" s="24"/>
      <x:c r="B7" s="24"/>
      <x:c r="C7" s="24"/>
      <x:c r="D7" s="24"/>
      <x:c r="E7" s="24"/>
      <x:c r="F7" s="24"/>
      <x:c r="G7" s="24"/>
      <x:c r="H7" s="24"/>
    </x:row>
    <x:row r="8">
      <x:c r="A8" s="24"/>
      <x:c r="B8" s="24"/>
      <x:c r="C8" s="24"/>
      <x:c r="D8" s="24"/>
      <x:c r="E8" s="24"/>
      <x:c r="F8" s="24"/>
      <x:c r="G8" s="24"/>
      <x:c r="H8" s="24"/>
    </x:row>
    <x:row r="9">
      <x:c r="A9" s="42" t="str">
        <x:v>Interpretation</x:v>
      </x:c>
      <x:c r="B9" s="42"/>
      <x:c r="C9" s="42"/>
      <x:c r="D9" s="42"/>
      <x:c r="E9" s="42"/>
      <x:c r="F9" s="42"/>
      <x:c r="G9" s="42"/>
      <x:c r="H9" s="42"/>
    </x:row>
    <x:row r="10">
      <x:c r="A10" s="20" t="str">
        <x:v>This workbook is designed as a manuscript case-study dataset, not as a new validation dataset. The published Table 1 contains aggregate prey-group %W rather than the original wet mass of each prey item in each stomach. Therefore the analysis uses conservative group-level PECC ED mappings. For the final paper, specimen-level prey wet-mass data should replace this aggregate version if the original spreadsheet is available.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</x:sheetData>
  <x:mergeCells>
    <x:mergeCell ref="A1:H1"/>
    <x:mergeCell ref="A9:H9"/>
    <x:mergeCell ref="A10:H13"/>
  </x:mergeCells>
  <x:pageMargins left="0.7" right="0.7" top="0.75" bottom="0.75" header="0.3" footer="0.3"/>
  <x:tableParts count="1">
    <x:tablePart xmlns:r="http://schemas.openxmlformats.org/officeDocument/2006/relationships" r:id="R306b374c0acf46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4" t="str">
        <x:v>Case-study figures: wet-mass contribution (%W) vs estimated energetic contribution (%E)</x:v>
      </x:c>
      <x:c r="B1" s="44"/>
      <x:c r="C1" s="44"/>
      <x:c r="D1" s="4"/>
      <x:c r="E1" s="4"/>
      <x:c r="F1" s="4"/>
      <x:c r="G1" s="4"/>
      <x:c r="H1" s="4"/>
    </x:row>
    <x:row r="3">
      <x:c r="A3" s="12" t="str">
        <x:v>Prey group</x:v>
      </x:c>
      <x:c r="B3" s="12" t="str">
        <x:v>%W</x:v>
      </x:c>
      <x:c r="C3" s="12" t="str">
        <x:v>%E</x:v>
      </x:c>
    </x:row>
    <x:row r="4">
      <x:c r="A4" t="str">
        <x:f>CaseStudy_Results!B2</x:f>
        <x:v>Cephalopoda</x:v>
      </x:c>
      <x:c r="B4" t="n">
        <x:f>CaseStudy_Results!I2</x:f>
        <x:v>0.4995004995004995</x:v>
      </x:c>
      <x:c r="C4" t="n">
        <x:f>CaseStudy_Results!K2</x:f>
        <x:v>0.43531255441406935</x:v>
      </x:c>
    </x:row>
    <x:row r="5">
      <x:c r="A5" t="str">
        <x:f>CaseStudy_Results!B3</x:f>
        <x:v>Euphausiacea</x:v>
      </x:c>
      <x:c r="B5" t="n">
        <x:f>CaseStudy_Results!I3</x:f>
        <x:v>14.285714285714288</x:v>
      </x:c>
      <x:c r="C5" t="n">
        <x:f>CaseStudy_Results!K3</x:f>
        <x:v>11.178455918583587</x:v>
      </x:c>
    </x:row>
    <x:row r="6">
      <x:c r="A6" t="str">
        <x:f>CaseStudy_Results!B4</x:f>
        <x:v>Macrura</x:v>
      </x:c>
      <x:c r="B6" t="n">
        <x:f>CaseStudy_Results!I4</x:f>
        <x:v>0.5994005994005994</x:v>
      </x:c>
      <x:c r="C6" t="n">
        <x:f>CaseStudy_Results!K4</x:f>
        <x:v>0.4412402147294949</x:v>
      </x:c>
    </x:row>
    <x:row r="7">
      <x:c r="A7" t="str">
        <x:f>CaseStudy_Results!B5</x:f>
        <x:v>Brachyura</x:v>
      </x:c>
      <x:c r="B7" t="n">
        <x:f>CaseStudy_Results!I5</x:f>
        <x:v>0.19980019980019983</x:v>
      </x:c>
      <x:c r="C7" t="n">
        <x:f>CaseStudy_Results!K5</x:f>
        <x:v>0.11373698230222919</x:v>
      </x:c>
    </x:row>
    <x:row r="8">
      <x:c r="A8" t="str">
        <x:f>CaseStudy_Results!B6</x:f>
        <x:v>Amphipoda</x:v>
      </x:c>
      <x:c r="B8" t="n">
        <x:f>CaseStudy_Results!I6</x:f>
        <x:v>0.19980019980019983</x:v>
      </x:c>
      <x:c r="C8" t="n">
        <x:f>CaseStudy_Results!K6</x:f>
        <x:v>0.0711319237851075</x:v>
      </x:c>
    </x:row>
    <x:row r="9">
      <x:c r="A9" t="str">
        <x:f>CaseStudy_Results!B7</x:f>
        <x:v>Pisces</x:v>
      </x:c>
      <x:c r="B9" t="n">
        <x:f>CaseStudy_Results!I7</x:f>
        <x:v>84.21578421578421</x:v>
      </x:c>
      <x:c r="C9" t="n">
        <x:f>CaseStudy_Results!K7</x:f>
        <x:v>87.76012240618552</x:v>
      </x:c>
    </x:row>
    <x:row r="20">
      <x:c r="A20" s="12" t="str">
        <x:v>Prey group</x:v>
      </x:c>
      <x:c r="B20" s="12" t="str">
        <x:v>%W</x:v>
      </x:c>
      <x:c r="C20" s="12" t="str">
        <x:v>%E</x:v>
      </x:c>
    </x:row>
    <x:row r="21">
      <x:c r="A21" t="str">
        <x:f>CaseStudy_Results!B8</x:f>
        <x:v>Gastropoda</x:v>
      </x:c>
      <x:c r="B21" t="n">
        <x:f>CaseStudy_Results!I8</x:f>
        <x:v>0.9009009009009009</x:v>
      </x:c>
      <x:c r="C21" t="n">
        <x:f>CaseStudy_Results!K8</x:f>
        <x:v>0.4393218112102335</x:v>
      </x:c>
    </x:row>
    <x:row r="22">
      <x:c r="A22" t="str">
        <x:f>CaseStudy_Results!B9</x:f>
        <x:v>Dentaliida</x:v>
      </x:c>
      <x:c r="B22" t="n">
        <x:f>CaseStudy_Results!I9</x:f>
        <x:v>0.30030030030030025</x:v>
      </x:c>
      <x:c r="C22" t="n">
        <x:f>CaseStudy_Results!K9</x:f>
        <x:v>0.1464406037367445</x:v>
      </x:c>
    </x:row>
    <x:row r="23">
      <x:c r="A23" t="str">
        <x:f>CaseStudy_Results!B10</x:f>
        <x:v>Cephalopoda</x:v>
      </x:c>
      <x:c r="B23" t="n">
        <x:f>CaseStudy_Results!I10</x:f>
        <x:v>1.6016016016016015</x:v>
      </x:c>
      <x:c r="C23" t="n">
        <x:f>CaseStudy_Results!K10</x:f>
        <x:v>1.7153167291282225</x:v>
      </x:c>
    </x:row>
    <x:row r="24">
      <x:c r="A24" t="str">
        <x:f>CaseStudy_Results!B11</x:f>
        <x:v>Euphausiacea</x:v>
      </x:c>
      <x:c r="B24" t="n">
        <x:f>CaseStudy_Results!I11</x:f>
        <x:v>54.95495495495495</x:v>
      </x:c>
      <x:c r="C24" t="n">
        <x:f>CaseStudy_Results!K11</x:f>
        <x:v>52.84589749613939</x:v>
      </x:c>
    </x:row>
    <x:row r="25">
      <x:c r="A25" t="str">
        <x:f>CaseStudy_Results!B12</x:f>
        <x:v>Stomatopoda</x:v>
      </x:c>
      <x:c r="B25" t="n">
        <x:f>CaseStudy_Results!I12</x:f>
        <x:v>0.10010010010010009</x:v>
      </x:c>
      <x:c r="C25" t="n">
        <x:f>CaseStudy_Results!K12</x:f>
        <x:v>0.08895924526063918</x:v>
      </x:c>
    </x:row>
    <x:row r="26">
      <x:c r="A26" t="str">
        <x:f>CaseStudy_Results!B13</x:f>
        <x:v>Macrura</x:v>
      </x:c>
      <x:c r="B26" t="n">
        <x:f>CaseStudy_Results!I13</x:f>
        <x:v>1.7017017017017015</x:v>
      </x:c>
      <x:c r="C26" t="n">
        <x:f>CaseStudy_Results!K13</x:f>
        <x:v>1.5394511442668048</x:v>
      </x:c>
    </x:row>
    <x:row r="27">
      <x:c r="A27" t="str">
        <x:f>CaseStudy_Results!B14</x:f>
        <x:v>Anomura</x:v>
      </x:c>
      <x:c r="B27" t="n">
        <x:f>CaseStudy_Results!I14</x:f>
        <x:v>14.014014014014014</x:v>
      </x:c>
      <x:c r="C27" t="n">
        <x:f>CaseStudy_Results!K14</x:f>
        <x:v>9.803765028980186</x:v>
      </x:c>
    </x:row>
    <x:row r="28">
      <x:c r="A28" t="str">
        <x:f>CaseStudy_Results!B15</x:f>
        <x:v>Amphipoda</x:v>
      </x:c>
      <x:c r="B28" t="n">
        <x:f>CaseStudy_Results!I15</x:f>
        <x:v>0.5005005005005005</x:v>
      </x:c>
      <x:c r="C28" t="n">
        <x:f>CaseStudy_Results!K15</x:f>
        <x:v>0.21897660371849648</x:v>
      </x:c>
    </x:row>
    <x:row r="29">
      <x:c r="A29" t="str">
        <x:f>CaseStudy_Results!B16</x:f>
        <x:v>Pisces</x:v>
      </x:c>
      <x:c r="B29" t="n">
        <x:f>CaseStudy_Results!I16</x:f>
        <x:v>25.925925925925924</x:v>
      </x:c>
      <x:c r="C29" t="n">
        <x:f>CaseStudy_Results!K16</x:f>
        <x:v>33.20187133755928</x:v>
      </x:c>
    </x:row>
    <x:row r="37">
      <x:c r="A37" s="12" t="str">
        <x:v>Prey group</x:v>
      </x:c>
      <x:c r="B37" s="12" t="str">
        <x:v>%W</x:v>
      </x:c>
      <x:c r="C37" s="12" t="str">
        <x:v>%E</x:v>
      </x:c>
    </x:row>
    <x:row r="38">
      <x:c r="A38" t="str">
        <x:f>CaseStudy_Results!B17</x:f>
        <x:v>Polychaeta</x:v>
      </x:c>
      <x:c r="B38" t="n">
        <x:f>CaseStudy_Results!I17</x:f>
        <x:v>5.8</x:v>
      </x:c>
      <x:c r="C38" t="n">
        <x:f>CaseStudy_Results!K17</x:f>
        <x:v>2.691051985561205</x:v>
      </x:c>
    </x:row>
    <x:row r="39">
      <x:c r="A39" t="str">
        <x:f>CaseStudy_Results!B18</x:f>
        <x:v>Gastropoda</x:v>
      </x:c>
      <x:c r="B39" t="n">
        <x:f>CaseStudy_Results!I18</x:f>
        <x:v>5.2</x:v>
      </x:c>
      <x:c r="C39" t="n">
        <x:f>CaseStudy_Results!K18</x:f>
        <x:v>2.5247471963009103</x:v>
      </x:c>
    </x:row>
    <x:row r="40">
      <x:c r="A40" t="str">
        <x:f>CaseStudy_Results!B19</x:f>
        <x:v>Cephalopoda</x:v>
      </x:c>
      <x:c r="B40" t="n">
        <x:f>CaseStudy_Results!I19</x:f>
        <x:v>1.9</x:v>
      </x:c>
      <x:c r="C40" t="n">
        <x:f>CaseStudy_Results!K19</x:f>
        <x:v>2.0260597109064635</x:v>
      </x:c>
    </x:row>
    <x:row r="41">
      <x:c r="A41" t="str">
        <x:f>CaseStudy_Results!B20</x:f>
        <x:v>Mysidacea</x:v>
      </x:c>
      <x:c r="B41" t="n">
        <x:f>CaseStudy_Results!I20</x:f>
        <x:v>4.8</x:v>
      </x:c>
      <x:c r="C41" t="n">
        <x:f>CaseStudy_Results!K20</x:f>
        <x:v>3.8279596240105094</x:v>
      </x:c>
    </x:row>
    <x:row r="42">
      <x:c r="A42" t="str">
        <x:f>CaseStudy_Results!B21</x:f>
        <x:v>Euphausiacea</x:v>
      </x:c>
      <x:c r="B42" t="n">
        <x:f>CaseStudy_Results!I21</x:f>
        <x:v>4.4</x:v>
      </x:c>
      <x:c r="C42" t="n">
        <x:f>CaseStudy_Results!K21</x:f>
        <x:v>4.21275215141223</x:v>
      </x:c>
    </x:row>
    <x:row r="43">
      <x:c r="A43" t="str">
        <x:f>CaseStudy_Results!B22</x:f>
        <x:v>Macrura</x:v>
      </x:c>
      <x:c r="B43" t="n">
        <x:f>CaseStudy_Results!I22</x:f>
        <x:v>19.8</x:v>
      </x:c>
      <x:c r="C43" t="n">
        <x:f>CaseStudy_Results!K22</x:f>
        <x:v>17.834316868478552</x:v>
      </x:c>
    </x:row>
    <x:row r="44">
      <x:c r="A44" t="str">
        <x:f>CaseStudy_Results!B23</x:f>
        <x:v>Anomura</x:v>
      </x:c>
      <x:c r="B44" t="n">
        <x:f>CaseStudy_Results!I23</x:f>
        <x:v>0.1</x:v>
      </x:c>
      <x:c r="C44" t="n">
        <x:f>CaseStudy_Results!K23</x:f>
        <x:v>0.06965289263698592</x:v>
      </x:c>
    </x:row>
    <x:row r="45">
      <x:c r="A45" t="str">
        <x:f>CaseStudy_Results!B24</x:f>
        <x:v>Brachyura</x:v>
      </x:c>
      <x:c r="B45" t="n">
        <x:f>CaseStudy_Results!I24</x:f>
        <x:v>0.3</x:v>
      </x:c>
      <x:c r="C45" t="n">
        <x:f>CaseStudy_Results!K24</x:f>
        <x:v>0.20895867791095776</x:v>
      </x:c>
    </x:row>
    <x:row r="46">
      <x:c r="A46" t="str">
        <x:f>CaseStudy_Results!B25</x:f>
        <x:v>Amphipoda</x:v>
      </x:c>
      <x:c r="B46" t="n">
        <x:f>CaseStudy_Results!I25</x:f>
        <x:v>8.3</x:v>
      </x:c>
      <x:c r="C46" t="n">
        <x:f>CaseStudy_Results!K25</x:f>
        <x:v>3.615597710302956</x:v>
      </x:c>
    </x:row>
    <x:row r="47">
      <x:c r="A47" t="str">
        <x:f>CaseStudy_Results!B26</x:f>
        <x:v>Pisces</x:v>
      </x:c>
      <x:c r="B47" t="n">
        <x:f>CaseStudy_Results!I26</x:f>
        <x:v>49.4</x:v>
      </x:c>
      <x:c r="C47" t="n">
        <x:f>CaseStudy_Results!K26</x:f>
        <x:v>62.98890318247924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caa0a00d0b44df8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3" hidden="0" customWidth="1"/>
    <x:col min="5" max="5" width="20" hidden="0" customWidth="1"/>
    <x:col min="6" max="6" width="14" hidden="0" customWidth="1"/>
    <x:col min="7" max="7" width="10" hidden="0" customWidth="1"/>
    <x:col min="8" max="8" width="22" hidden="0" customWidth="1"/>
  </x:cols>
  <x:sheetData>
    <x:row r="1">
      <x:c r="A1" s="53" t="str">
        <x:v>Table 3. Comparison of published %IRI, %W, and PECC-estimated %E of selected prey groups</x:v>
      </x:c>
      <x:c r="B1" s="53"/>
      <x:c r="C1" s="53"/>
      <x:c r="D1" s="53"/>
      <x:c r="E1" s="53"/>
      <x:c r="F1" s="53"/>
      <x:c r="G1" s="53"/>
      <x:c r="H1" s="53"/>
    </x:row>
    <x:row r="3">
      <x:c r="A3" s="59" t="str">
        <x:v>Predator</x:v>
      </x:c>
      <x:c r="B3" s="59" t="str">
        <x:v>Prey group</x:v>
      </x:c>
      <x:c r="C3" s="59" t="str">
        <x:v>Published %IRI</x:v>
      </x:c>
      <x:c r="D3" s="59" t="str">
        <x:v>Published %W</x:v>
      </x:c>
      <x:c r="E3" s="59" t="str">
        <x:v>Assigned ED (kJ g⁻¹ WW)</x:v>
      </x:c>
      <x:c r="F3" s="59" t="str">
        <x:v>Assignment level</x:v>
      </x:c>
      <x:c r="G3" s="59" t="str">
        <x:v>%E</x:v>
      </x:c>
      <x:c r="H3" s="59" t="str">
        <x:v>Sensitivity envelope (%E)</x:v>
      </x:c>
    </x:row>
    <x:row r="4">
      <x:c r="A4" s="60" t="str">
        <x:v>Trichiurus japonicus</x:v>
      </x:c>
      <x:c r="B4" s="60" t="str">
        <x:v>Euphausiacea</x:v>
      </x:c>
      <x:c r="C4" s="61" t="n">
        <x:v>50.2</x:v>
      </x:c>
      <x:c r="D4" s="61" t="n">
        <x:v>14.3</x:v>
      </x:c>
      <x:c r="E4" s="61" t="n">
        <x:v>4.22</x:v>
      </x:c>
      <x:c r="F4" s="62" t="str">
        <x:v>Proxy</x:v>
      </x:c>
      <x:c r="G4" s="61" t="n">
        <x:v>11.178455918583587</x:v>
      </x:c>
      <x:c r="H4" s="62" t="str">
        <x:v>6.0–25.0</x:v>
      </x:c>
    </x:row>
    <x:row r="5">
      <x:c r="A5" s="60" t="str">
        <x:v>Trichiurus japonicus</x:v>
      </x:c>
      <x:c r="B5" s="60" t="str">
        <x:v>Pisces</x:v>
      </x:c>
      <x:c r="C5" s="61" t="n">
        <x:v>49.6</x:v>
      </x:c>
      <x:c r="D5" s="61" t="n">
        <x:v>84.3</x:v>
      </x:c>
      <x:c r="E5" s="61" t="n">
        <x:v>5.62</x:v>
      </x:c>
      <x:c r="F5" s="62" t="str">
        <x:v>Broad</x:v>
      </x:c>
      <x:c r="G5" s="61" t="n">
        <x:v>87.76012240618552</x:v>
      </x:c>
      <x:c r="H5" s="62" t="str">
        <x:v>72.3–93.5</x:v>
      </x:c>
    </x:row>
    <x:row r="6">
      <x:c r="A6" s="60" t="str">
        <x:v>Scomber japonicus</x:v>
      </x:c>
      <x:c r="B6" s="60" t="str">
        <x:v>Euphausiacea</x:v>
      </x:c>
      <x:c r="C6" s="61" t="n">
        <x:v>84.9</x:v>
      </x:c>
      <x:c r="D6" s="61" t="n">
        <x:v>54.9</x:v>
      </x:c>
      <x:c r="E6" s="61" t="n">
        <x:v>4.22</x:v>
      </x:c>
      <x:c r="F6" s="62" t="str">
        <x:v>Proxy</x:v>
      </x:c>
      <x:c r="G6" s="61" t="n">
        <x:v>52.84589749613939</x:v>
      </x:c>
      <x:c r="H6" s="62" t="str">
        <x:v>37.7–71.5</x:v>
      </x:c>
    </x:row>
    <x:row r="7">
      <x:c r="A7" s="60" t="str">
        <x:v>Scomber japonicus</x:v>
      </x:c>
      <x:c r="B7" s="60" t="str">
        <x:v>Pisces</x:v>
      </x:c>
      <x:c r="C7" s="61" t="n">
        <x:v>10.4</x:v>
      </x:c>
      <x:c r="D7" s="61" t="n">
        <x:v>25.9</x:v>
      </x:c>
      <x:c r="E7" s="61" t="n">
        <x:v>5.62</x:v>
      </x:c>
      <x:c r="F7" s="62" t="str">
        <x:v>Broad</x:v>
      </x:c>
      <x:c r="G7" s="61" t="n">
        <x:v>33.20187133755928</x:v>
      </x:c>
      <x:c r="H7" s="62" t="str">
        <x:v>14.2–51.5</x:v>
      </x:c>
    </x:row>
    <x:row r="8">
      <x:c r="A8" s="60" t="str">
        <x:v>Scomber japonicus</x:v>
      </x:c>
      <x:c r="B8" s="60" t="str">
        <x:v>Anomura</x:v>
      </x:c>
      <x:c r="C8" s="61" t="n">
        <x:v>2.8</x:v>
      </x:c>
      <x:c r="D8" s="61" t="n">
        <x:v>14</x:v>
      </x:c>
      <x:c r="E8" s="61" t="n">
        <x:v>3.07</x:v>
      </x:c>
      <x:c r="F8" s="62" t="str">
        <x:v>Proxy</x:v>
      </x:c>
      <x:c r="G8" s="61" t="n">
        <x:v>9.803765028980186</x:v>
      </x:c>
      <x:c r="H8" s="62" t="str">
        <x:v>4.3–19.4</x:v>
      </x:c>
    </x:row>
    <x:row r="9">
      <x:c r="A9" s="60" t="str">
        <x:v>Trachurus japonicus</x:v>
      </x:c>
      <x:c r="B9" s="60" t="str">
        <x:v>Pisces</x:v>
      </x:c>
      <x:c r="C9" s="61" t="n">
        <x:v>55.6</x:v>
      </x:c>
      <x:c r="D9" s="61" t="n">
        <x:v>49.4</x:v>
      </x:c>
      <x:c r="E9" s="61" t="n">
        <x:v>5.62</x:v>
      </x:c>
      <x:c r="F9" s="62" t="str">
        <x:v>Broad</x:v>
      </x:c>
      <x:c r="G9" s="61" t="n">
        <x:v>62.98890318247924</x:v>
      </x:c>
      <x:c r="H9" s="62" t="str">
        <x:v>32.9–81.0</x:v>
      </x:c>
    </x:row>
    <x:row r="10">
      <x:c r="A10" s="60" t="str">
        <x:v>Trachurus japonicus</x:v>
      </x:c>
      <x:c r="B10" s="60" t="str">
        <x:v>Amphipoda</x:v>
      </x:c>
      <x:c r="C10" s="61" t="n">
        <x:v>26.9</x:v>
      </x:c>
      <x:c r="D10" s="61" t="n">
        <x:v>8.3</x:v>
      </x:c>
      <x:c r="E10" s="61" t="n">
        <x:v>1.92</x:v>
      </x:c>
      <x:c r="F10" s="62" t="str">
        <x:v>Proxy</x:v>
      </x:c>
      <x:c r="G10" s="61" t="n">
        <x:v>3.615597710302956</x:v>
      </x:c>
      <x:c r="H10" s="62" t="str">
        <x:v>1.4–8.3</x:v>
      </x:c>
    </x:row>
    <x:row r="11">
      <x:c r="A11" s="60" t="str">
        <x:v>Trachurus japonicus</x:v>
      </x:c>
      <x:c r="B11" s="60" t="str">
        <x:v>Macrura</x:v>
      </x:c>
      <x:c r="C11" s="61" t="n">
        <x:v>8.8</x:v>
      </x:c>
      <x:c r="D11" s="61" t="n">
        <x:v>19.8</x:v>
      </x:c>
      <x:c r="E11" s="61" t="n">
        <x:v>3.97</x:v>
      </x:c>
      <x:c r="F11" s="62" t="str">
        <x:v>Proxy</x:v>
      </x:c>
      <x:c r="G11" s="61" t="n">
        <x:v>17.834316868478552</x:v>
      </x:c>
      <x:c r="H11" s="62" t="str">
        <x:v>9.4–39.0</x:v>
      </x:c>
    </x:row>
    <x:row r="13" ht="70" customHeight="1">
      <x:c r="A13" s="65" t="str">
        <x:v>Note: ED, energy density; WW, wet weight. Published %IRI and %W were obtained from Kim et al. (2026). Values reported as &lt;0.1% in the original study were excluded from numerical %E calculations, and remaining numeric %W values were renormalized to 100% within each predator species before energetic conversion. Sensitivity envelopes were calculated from minimum and maximum literature-derived ED values and are not statistical confidence intervals. Broad, broad taxonomic-group assignment; Proxy, ecological energy-proxy assignment.</x:v>
      </x:c>
      <x:c r="B13" s="65"/>
      <x:c r="C13" s="65"/>
      <x:c r="D13" s="65"/>
      <x:c r="E13" s="65"/>
      <x:c r="F13" s="65"/>
      <x:c r="G13" s="65"/>
      <x:c r="H13" s="65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52" t="str">
        <x:v>Fig. 4 data: comparison of %IRI, published %W, and PECC-estimated %E</x:v>
      </x:c>
      <x:c r="B1" s="52"/>
      <x:c r="C1" s="52"/>
      <x:c r="D1" s="52"/>
    </x:row>
    <x:row r="3">
      <x:c r="A3" s="66" t="str">
        <x:v>Trichiurus japonicus</x:v>
      </x:c>
    </x:row>
    <x:row r="4">
      <x:c r="A4" s="67" t="str">
        <x:v>Prey group</x:v>
      </x:c>
      <x:c r="B4" s="67" t="str">
        <x:v>%IRI</x:v>
      </x:c>
      <x:c r="C4" s="67" t="str">
        <x:v>%W</x:v>
      </x:c>
      <x:c r="D4" s="67" t="str">
        <x:v>%E</x:v>
      </x:c>
    </x:row>
    <x:row r="5">
      <x:c r="A5" t="str">
        <x:v>Euphausiacea</x:v>
      </x:c>
      <x:c r="B5" s="26" t="n">
        <x:v>50.2</x:v>
      </x:c>
      <x:c r="C5" s="26" t="n">
        <x:v>14.3</x:v>
      </x:c>
      <x:c r="D5" s="26" t="n">
        <x:v>11.178455918583587</x:v>
      </x:c>
    </x:row>
    <x:row r="6">
      <x:c r="A6" t="str">
        <x:v>Pisces</x:v>
      </x:c>
      <x:c r="B6" s="26" t="n">
        <x:v>49.6</x:v>
      </x:c>
      <x:c r="C6" s="26" t="n">
        <x:v>84.3</x:v>
      </x:c>
      <x:c r="D6" s="26" t="n">
        <x:v>87.76012240618552</x:v>
      </x:c>
    </x:row>
    <x:row r="12">
      <x:c r="A12" s="66" t="str">
        <x:v>Scomber japonicus</x:v>
      </x:c>
    </x:row>
    <x:row r="13">
      <x:c r="A13" s="67" t="str">
        <x:v>Prey group</x:v>
      </x:c>
      <x:c r="B13" s="67" t="str">
        <x:v>%IRI</x:v>
      </x:c>
      <x:c r="C13" s="67" t="str">
        <x:v>%W</x:v>
      </x:c>
      <x:c r="D13" s="67" t="str">
        <x:v>%E</x:v>
      </x:c>
    </x:row>
    <x:row r="14">
      <x:c r="A14" t="str">
        <x:v>Euphausiacea</x:v>
      </x:c>
      <x:c r="B14" s="26" t="n">
        <x:v>84.9</x:v>
      </x:c>
      <x:c r="C14" s="26" t="n">
        <x:v>54.9</x:v>
      </x:c>
      <x:c r="D14" s="26" t="n">
        <x:v>52.84589749613939</x:v>
      </x:c>
    </x:row>
    <x:row r="15">
      <x:c r="A15" t="str">
        <x:v>Pisces</x:v>
      </x:c>
      <x:c r="B15" s="26" t="n">
        <x:v>10.4</x:v>
      </x:c>
      <x:c r="C15" s="26" t="n">
        <x:v>25.9</x:v>
      </x:c>
      <x:c r="D15" s="26" t="n">
        <x:v>33.20187133755928</x:v>
      </x:c>
    </x:row>
    <x:row r="16">
      <x:c r="A16" t="str">
        <x:v>Anomura</x:v>
      </x:c>
      <x:c r="B16" s="26" t="n">
        <x:v>2.8</x:v>
      </x:c>
      <x:c r="C16" s="26" t="n">
        <x:v>14</x:v>
      </x:c>
      <x:c r="D16" s="26" t="n">
        <x:v>9.803765028980186</x:v>
      </x:c>
    </x:row>
    <x:row r="22">
      <x:c r="A22" s="66" t="str">
        <x:v>Trachurus japonicus</x:v>
      </x:c>
    </x:row>
    <x:row r="23">
      <x:c r="A23" s="67" t="str">
        <x:v>Prey group</x:v>
      </x:c>
      <x:c r="B23" s="67" t="str">
        <x:v>%IRI</x:v>
      </x:c>
      <x:c r="C23" s="67" t="str">
        <x:v>%W</x:v>
      </x:c>
      <x:c r="D23" s="67" t="str">
        <x:v>%E</x:v>
      </x:c>
    </x:row>
    <x:row r="24">
      <x:c r="A24" t="str">
        <x:v>Pisces</x:v>
      </x:c>
      <x:c r="B24" s="26" t="n">
        <x:v>55.6</x:v>
      </x:c>
      <x:c r="C24" s="26" t="n">
        <x:v>49.4</x:v>
      </x:c>
      <x:c r="D24" s="26" t="n">
        <x:v>62.98890318247924</x:v>
      </x:c>
    </x:row>
    <x:row r="25">
      <x:c r="A25" t="str">
        <x:v>Amphipoda</x:v>
      </x:c>
      <x:c r="B25" s="26" t="n">
        <x:v>26.9</x:v>
      </x:c>
      <x:c r="C25" s="26" t="n">
        <x:v>8.3</x:v>
      </x:c>
      <x:c r="D25" s="26" t="n">
        <x:v>3.615597710302956</x:v>
      </x:c>
    </x:row>
    <x:row r="26">
      <x:c r="A26" t="str">
        <x:v>Macrura</x:v>
      </x:c>
      <x:c r="B26" s="26" t="n">
        <x:v>8.8</x:v>
      </x:c>
      <x:c r="C26" s="26" t="n">
        <x:v>19.8</x:v>
      </x:c>
      <x:c r="D26" s="26" t="n">
        <x:v>17.834316868478552</x:v>
      </x:c>
    </x:row>
  </x:sheetData>
  <x:mergeCells>
    <x:mergeCell ref="A1:D1"/>
    <x:mergeCell ref="A3:D3"/>
    <x:mergeCell ref="A12:D12"/>
    <x:mergeCell ref="A22:D22"/>
  </x:mergeCells>
  <x:pageMargins left="0.7" right="0.7" top="0.75" bottom="0.75" header="0.3" footer="0.3"/>
  <x:drawing xmlns:r="http://schemas.openxmlformats.org/officeDocument/2006/relationships" r:id="Rcb84a0570f5e46c3"/>
</x:worksheet>
</file>