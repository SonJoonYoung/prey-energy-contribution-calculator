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bfce0f0ca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a4531dddf04173"/>
    <x:sheet xmlns:r="http://schemas.openxmlformats.org/officeDocument/2006/relationships" name="Nested_Summary" sheetId="2" r:id="R4b51d84b16434526"/>
    <x:sheet xmlns:r="http://schemas.openxmlformats.org/officeDocument/2006/relationships" name="Nested_Detail" sheetId="3" r:id="Rf2f059fe95fc4ffe"/>
    <x:sheet xmlns:r="http://schemas.openxmlformats.org/officeDocument/2006/relationships" name="Baseline_Summary" sheetId="4" r:id="Ra8ea084172db41b0"/>
    <x:sheet xmlns:r="http://schemas.openxmlformats.org/officeDocument/2006/relationships" name="Baseline_Paired" sheetId="5" r:id="Rdf2eab6f57a04cfa"/>
    <x:sheet xmlns:r="http://schemas.openxmlformats.org/officeDocument/2006/relationships" name="Baseline_Detail" sheetId="6" r:id="R0c9a38f2d0c94fb4"/>
    <x:sheet xmlns:r="http://schemas.openxmlformats.org/officeDocument/2006/relationships" name="Assignment_Counts" sheetId="7" r:id="Rcb6278160a76407a"/>
    <x:sheet xmlns:r="http://schemas.openxmlformats.org/officeDocument/2006/relationships" name="External_Eval_PENDING" sheetId="8" r:id="Rfd12a3e79bdf4e53"/>
    <x:sheet xmlns:r="http://schemas.openxmlformats.org/officeDocument/2006/relationships" name="Manuscript_Text" sheetId="9" r:id="R8b0b959a6815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0"/>
    <x:numFmt numFmtId="203" formatCode="0.00"/>
    <x:numFmt numFmtId="204" formatCode="0.00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top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26261cadf4841" /><Relationship Type="http://schemas.openxmlformats.org/officeDocument/2006/relationships/theme" Target="/xl/theme/theme1.xml" Id="R4bd49995b78f419a" /><Relationship Type="http://schemas.openxmlformats.org/officeDocument/2006/relationships/sharedStrings" Target="/xl/sharedStrings.xml" Id="Rc8c99569440b42a8" /><Relationship Type="http://schemas.openxmlformats.org/officeDocument/2006/relationships/worksheet" Target="/xl/worksheets/sheet1.xml" Id="R2ca4531dddf04173" /><Relationship Type="http://schemas.openxmlformats.org/officeDocument/2006/relationships/worksheet" Target="/xl/worksheets/sheet2.xml" Id="R4b51d84b16434526" /><Relationship Type="http://schemas.openxmlformats.org/officeDocument/2006/relationships/worksheet" Target="/xl/worksheets/sheet3.xml" Id="Rf2f059fe95fc4ffe" /><Relationship Type="http://schemas.openxmlformats.org/officeDocument/2006/relationships/worksheet" Target="/xl/worksheets/sheet4.xml" Id="Ra8ea084172db41b0" /><Relationship Type="http://schemas.openxmlformats.org/officeDocument/2006/relationships/worksheet" Target="/xl/worksheets/sheet5.xml" Id="Rdf2eab6f57a04cfa" /><Relationship Type="http://schemas.openxmlformats.org/officeDocument/2006/relationships/worksheet" Target="/xl/worksheets/sheet6.xml" Id="R0c9a38f2d0c94fb4" /><Relationship Type="http://schemas.openxmlformats.org/officeDocument/2006/relationships/worksheet" Target="/xl/worksheets/sheet7.xml" Id="Rcb6278160a76407a" /><Relationship Type="http://schemas.openxmlformats.org/officeDocument/2006/relationships/worksheet" Target="/xl/worksheets/sheet8.xml" Id="Rfd12a3e79bdf4e53" /><Relationship Type="http://schemas.openxmlformats.org/officeDocument/2006/relationships/worksheet" Target="/xl/worksheets/sheet9.xml" Id="R8b0b959a681541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 ht="28" customHeight="1">
      <x:c r="A1" s="30" t="str">
        <x:v>PECC Additional Validation Analyses</x:v>
      </x:c>
      <x:c r="B1" s="30"/>
      <x:c r="C1" s="30"/>
      <x:c r="D1" s="30"/>
      <x:c r="E1" s="30"/>
      <x:c r="F1" s="30"/>
      <x:c r="G1" s="30"/>
      <x:c r="H1" s="30"/>
    </x:row>
    <x:row r="2" ht="20" customHeight="1">
      <x:c r="A2" s="31"/>
      <x:c r="B2" s="31"/>
      <x:c r="C2" s="31"/>
      <x:c r="D2" s="31"/>
      <x:c r="E2" s="31"/>
      <x:c r="F2" s="31"/>
      <x:c r="G2" s="31"/>
      <x:c r="H2" s="31"/>
    </x:row>
    <x:row r="3" ht="20" customHeight="1">
      <x:c r="A3" s="32" t="str">
        <x:v>Item</x:v>
      </x:c>
      <x:c r="B3" s="32" t="str">
        <x:v>Details</x:v>
      </x:c>
      <x:c r="C3" s="31"/>
      <x:c r="D3" s="31"/>
      <x:c r="E3" s="31"/>
      <x:c r="F3" s="31"/>
      <x:c r="G3" s="31"/>
      <x:c r="H3" s="31"/>
    </x:row>
    <x:row r="4" ht="20" customHeight="1">
      <x:c r="A4" s="33" t="str">
        <x:v>Reference PECC database</x:v>
      </x:c>
      <x:c r="B4" s="33" t="str">
        <x:v>PECC v1.0.0; 187 ED records; 384 lookup entries</x:v>
      </x:c>
      <x:c r="C4" s="31"/>
      <x:c r="D4" s="31"/>
      <x:c r="E4" s="31"/>
      <x:c r="F4" s="31"/>
      <x:c r="G4" s="31"/>
      <x:c r="H4" s="31"/>
    </x:row>
    <x:row r="5" ht="20" customHeight="1">
      <x:c r="A5" s="33" t="str">
        <x:v>Completed analysis 1</x:v>
      </x:c>
      <x:c r="B5" s="33" t="str">
        <x:v>Hierarchy-consistent nested holdout validation</x:v>
      </x:c>
      <x:c r="C5" s="31"/>
      <x:c r="D5" s="31"/>
      <x:c r="E5" s="31"/>
      <x:c r="F5" s="31"/>
      <x:c r="G5" s="31"/>
      <x:c r="H5" s="31"/>
    </x:row>
    <x:row r="6" ht="20" customHeight="1">
      <x:c r="A6" s="33" t="str">
        <x:v>Completed analysis 2</x:v>
      </x:c>
      <x:c r="B6" s="33" t="str">
        <x:v>Baseline model comparison on the same 127 leave-one-taxon-out targets</x:v>
      </x:c>
      <x:c r="C6" s="31"/>
      <x:c r="D6" s="31"/>
      <x:c r="E6" s="31"/>
      <x:c r="F6" s="31"/>
      <x:c r="G6" s="31"/>
      <x:c r="H6" s="31"/>
    </x:row>
    <x:row r="7" ht="20" customHeight="1">
      <x:c r="A7" s="33" t="str">
        <x:v>External evaluation</x:v>
      </x:c>
      <x:c r="B7" s="33" t="str">
        <x:v>Protocol prepared; numerical evaluation requires the Hermann et al. (2025) raw CSV</x:v>
      </x:c>
      <x:c r="C7" s="31"/>
      <x:c r="D7" s="31"/>
      <x:c r="E7" s="31"/>
      <x:c r="F7" s="31"/>
      <x:c r="G7" s="31"/>
      <x:c r="H7" s="31"/>
    </x:row>
    <x:row r="8" ht="20" customHeight="1">
      <x:c r="A8" s="33" t="str">
        <x:v>Hermann dataset</x:v>
      </x:c>
      <x:c r="B8" s="33" t="str">
        <x:v>3,810 records from 134 sources; BCO-DMO dataset 948253 v1</x:v>
      </x:c>
      <x:c r="C8" s="31"/>
      <x:c r="D8" s="31"/>
      <x:c r="E8" s="31"/>
      <x:c r="F8" s="31"/>
      <x:c r="G8" s="31"/>
      <x:c r="H8" s="31"/>
    </x:row>
    <x:row r="9" ht="20" customHeight="1">
      <x:c r="A9" s="33" t="str">
        <x:v>BCO-DMO dataset URL</x:v>
      </x:c>
      <x:c r="B9" s="33" t="str">
        <x:v>https://www.bco-dmo.org/dataset/948253</x:v>
      </x:c>
      <x:c r="C9" s="31"/>
      <x:c r="D9" s="31"/>
      <x:c r="E9" s="31"/>
      <x:c r="F9" s="31"/>
      <x:c r="G9" s="31"/>
      <x:c r="H9" s="31"/>
    </x:row>
    <x:row r="10" ht="20" customHeight="1">
      <x:c r="A10" s="33" t="str">
        <x:v>Dataset DOI</x:v>
      </x:c>
      <x:c r="B10" s="33" t="str">
        <x:v>https://doi.org/10.26008/1912/bco-dmo.948253.1</x:v>
      </x:c>
      <x:c r="C10" s="31"/>
      <x:c r="D10" s="31"/>
      <x:c r="E10" s="31"/>
      <x:c r="F10" s="31"/>
      <x:c r="G10" s="31"/>
      <x:c r="H10" s="31"/>
    </x:row>
    <x:row r="11" ht="20" customHeight="1">
      <x:c r="A11" s="33" t="str">
        <x:v>Publication DOI</x:v>
      </x:c>
      <x:c r="B11" s="33" t="str">
        <x:v>https://doi.org/10.1002/ecy.70154</x:v>
      </x:c>
      <x:c r="C11" s="31"/>
      <x:c r="D11" s="31"/>
      <x:c r="E11" s="31"/>
      <x:c r="F11" s="31"/>
      <x:c r="G11" s="31"/>
      <x:c r="H11" s="31"/>
    </x:row>
    <x:row r="12" ht="20" customHeight="1">
      <x:c r="A12" s="31"/>
      <x:c r="B12" s="31"/>
      <x:c r="C12" s="31"/>
      <x:c r="D12" s="31"/>
      <x:c r="E12" s="31"/>
      <x:c r="F12" s="31"/>
      <x:c r="G12" s="31"/>
      <x:c r="H12" s="31"/>
    </x:row>
    <x:row r="13" ht="20" customHeight="1">
      <x:c r="A13" s="25" t="str">
        <x:v>Interpretation: the nested taxonomic stress test modestly increased errors relative to the original forced-level analysis, especially at the ecological-proxy level. In the baseline comparison, full PECC clearly outperformed a naive global-median baseline but did not significantly outperform broad-group-only assignment on aggregate absolute error. This means the main advantage of the PECC hierarchy should be framed as biological specificity, traceability, and reproducibility rather than uniformly superior predictive accuracy.</x:v>
      </x:c>
      <x:c r="B13" s="25"/>
      <x:c r="C13" s="25"/>
      <x:c r="D13" s="25"/>
      <x:c r="E13" s="25"/>
      <x:c r="F13" s="25"/>
      <x:c r="G13" s="25"/>
      <x:c r="H13" s="25"/>
    </x:row>
    <x:row r="14" ht="20" customHeight="1">
      <x:c r="A14" s="25"/>
      <x:c r="B14" s="25"/>
      <x:c r="C14" s="25"/>
      <x:c r="D14" s="25"/>
      <x:c r="E14" s="25"/>
      <x:c r="F14" s="25"/>
      <x:c r="G14" s="25"/>
      <x:c r="H14" s="25"/>
    </x:row>
    <x:row r="15" ht="20" customHeight="1">
      <x:c r="A15" s="25"/>
      <x:c r="B15" s="25"/>
      <x:c r="C15" s="25"/>
      <x:c r="D15" s="25"/>
      <x:c r="E15" s="25"/>
      <x:c r="F15" s="25"/>
      <x:c r="G15" s="25"/>
      <x:c r="H15" s="25"/>
    </x:row>
    <x:row r="16" ht="20" customHeight="1">
      <x:c r="A16" s="25"/>
      <x:c r="B16" s="25"/>
      <x:c r="C16" s="25"/>
      <x:c r="D16" s="25"/>
      <x:c r="E16" s="25"/>
      <x:c r="F16" s="25"/>
      <x:c r="G16" s="25"/>
      <x:c r="H16" s="25"/>
    </x:row>
  </x:sheetData>
  <x:mergeCells>
    <x:mergeCell ref="A1:H1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>
      <x:c r="A1" s="56" t="str">
        <x:v>Hierarchy-consistent nested holdout validation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</x:row>
    <x:row r="3">
      <x:c r="A3" s="32" t="str">
        <x:v>Fallback level</x:v>
      </x:c>
      <x:c r="B3" s="32" t="str">
        <x:v>Holdout design</x:v>
      </x:c>
      <x:c r="C3" s="32" t="str">
        <x:v>Targets</x:v>
      </x:c>
      <x:c r="D3" s="32" t="str">
        <x:v>Predicted</x:v>
      </x:c>
      <x:c r="E3" s="32" t="str">
        <x:v>Coverage (%)</x:v>
      </x:c>
      <x:c r="F3" s="32" t="str">
        <x:v>MAE</x:v>
      </x:c>
      <x:c r="G3" s="32" t="str">
        <x:v>MAE 95% CI low</x:v>
      </x:c>
      <x:c r="H3" s="32" t="str">
        <x:v>MAE 95% CI high</x:v>
      </x:c>
      <x:c r="I3" s="32" t="str">
        <x:v>RMSE</x:v>
      </x:c>
      <x:c r="J3" s="32" t="str">
        <x:v>RMSE 95% CI low</x:v>
      </x:c>
      <x:c r="K3" s="32" t="str">
        <x:v>RMSE 95% CI high</x:v>
      </x:c>
      <x:c r="L3" s="32" t="str">
        <x:v>MAPE (%)</x:v>
      </x:c>
      <x:c r="M3" s="32" t="str">
        <x:v>MAPE 95% CI low</x:v>
      </x:c>
      <x:c r="N3" s="32" t="str">
        <x:v>MAPE 95% CI high</x:v>
      </x:c>
      <x:c r="O3" s="32" t="str">
        <x:v>Bias</x:v>
      </x:c>
      <x:c r="P3" s="32" t="str">
        <x:v>Median AE</x:v>
      </x:c>
      <x:c r="Q3" s="32" t="str">
        <x:v>Median APE (%)</x:v>
      </x:c>
      <x:c r="R3" s="32" t="str">
        <x:v>Original forced n</x:v>
      </x:c>
      <x:c r="S3" s="32" t="str">
        <x:v>Original forced MAE</x:v>
      </x:c>
      <x:c r="T3" s="32" t="str">
        <x:v>ΔMAE nested-forced</x:v>
      </x:c>
      <x:c r="U3" s="32" t="str">
        <x:v>ΔMAPE (pp)</x:v>
      </x:c>
    </x:row>
    <x:row r="4">
      <x:c r="A4" s="33" t="str">
        <x:v>Genus</x:v>
      </x:c>
      <x:c r="B4" s="33" t="str">
        <x:v>Leave one species out</x:v>
      </x:c>
      <x:c r="C4" s="57" t="n">
        <x:v>128</x:v>
      </x:c>
      <x:c r="D4" s="57" t="n">
        <x:v>27</x:v>
      </x:c>
      <x:c r="E4" s="58" t="n">
        <x:v>21.09375</x:v>
      </x:c>
      <x:c r="F4" s="59" t="n">
        <x:v>0.7614814814814815</x:v>
      </x:c>
      <x:c r="G4" s="59" t="n">
        <x:v>0.5714814814814815</x:v>
      </x:c>
      <x:c r="H4" s="59" t="n">
        <x:v>0.9690740740740743</x:v>
      </x:c>
      <x:c r="I4" s="59" t="n">
        <x:v>0.9261039458497726</x:v>
      </x:c>
      <x:c r="J4" s="59" t="n">
        <x:v>0.6936878100253585</x:v>
      </x:c>
      <x:c r="K4" s="59" t="n">
        <x:v>1.1433786839078361</x:v>
      </x:c>
      <x:c r="L4" s="60" t="n">
        <x:v>14.681342116888835</x:v>
      </x:c>
      <x:c r="M4" s="60" t="n">
        <x:v>11.097642841687922</x:v>
      </x:c>
      <x:c r="N4" s="60" t="n">
        <x:v>18.416906045636885</x:v>
      </x:c>
      <x:c r="O4" s="59" t="n">
        <x:v>0</x:v>
      </x:c>
      <x:c r="P4" s="59" t="n">
        <x:v>0.625</x:v>
      </x:c>
      <x:c r="Q4" s="60" t="n">
        <x:v>13.55140186915888</x:v>
      </x:c>
      <x:c r="R4" s="57" t="n">
        <x:v>27</x:v>
      </x:c>
      <x:c r="S4" s="59" t="n">
        <x:v>0.761</x:v>
      </x:c>
      <x:c r="T4" s="59" t="n">
        <x:v>0.00048148148148152714</x:v>
      </x:c>
      <x:c r="U4" s="60" t="n">
        <x:v>0.001342116888835676</x:v>
      </x:c>
    </x:row>
    <x:row r="5">
      <x:c r="A5" s="33" t="str">
        <x:v>Family</x:v>
      </x:c>
      <x:c r="B5" s="33" t="str">
        <x:v>Leave target genus out</x:v>
      </x:c>
      <x:c r="C5" s="57" t="n">
        <x:v>128</x:v>
      </x:c>
      <x:c r="D5" s="57" t="n">
        <x:v>67</x:v>
      </x:c>
      <x:c r="E5" s="58" t="n">
        <x:v>52.34375</x:v>
      </x:c>
      <x:c r="F5" s="59" t="n">
        <x:v>1.1350746268656715</x:v>
      </x:c>
      <x:c r="G5" s="59" t="n">
        <x:v>0.8801492537313432</x:v>
      </x:c>
      <x:c r="H5" s="59" t="n">
        <x:v>1.4256716417910447</x:v>
      </x:c>
      <x:c r="I5" s="59" t="n">
        <x:v>1.6112822834670917</x:v>
      </x:c>
      <x:c r="J5" s="59" t="n">
        <x:v>1.2054948819666391</x:v>
      </x:c>
      <x:c r="K5" s="59" t="n">
        <x:v>2.031154090732288</x:v>
      </x:c>
      <x:c r="L5" s="60" t="n">
        <x:v>19.114461845817626</x:v>
      </x:c>
      <x:c r="M5" s="60" t="n">
        <x:v>15.47494443425861</x:v>
      </x:c>
      <x:c r="N5" s="60" t="n">
        <x:v>23.144296235012565</x:v>
      </x:c>
      <x:c r="O5" s="59" t="n">
        <x:v>-0.26074626865671635</x:v>
      </x:c>
      <x:c r="P5" s="59" t="n">
        <x:v>0.7400000000000002</x:v>
      </x:c>
      <x:c r="Q5" s="60" t="n">
        <x:v>16.70616113744078</x:v>
      </x:c>
      <x:c r="R5" s="57" t="n">
        <x:v>75</x:v>
      </x:c>
      <x:c r="S5" s="59" t="n">
        <x:v>1.086</x:v>
      </x:c>
      <x:c r="T5" s="59" t="n">
        <x:v>0.049074626865671434</x:v>
      </x:c>
      <x:c r="U5" s="60" t="n">
        <x:v>0.1744618458176248</x:v>
      </x:c>
    </x:row>
    <x:row r="6">
      <x:c r="A6" s="33" t="str">
        <x:v>Ecological proxy</x:v>
      </x:c>
      <x:c r="B6" s="33" t="str">
        <x:v>Leave target family out</x:v>
      </x:c>
      <x:c r="C6" s="57" t="n">
        <x:v>128</x:v>
      </x:c>
      <x:c r="D6" s="57" t="n">
        <x:v>116</x:v>
      </x:c>
      <x:c r="E6" s="58" t="n">
        <x:v>90.625</x:v>
      </x:c>
      <x:c r="F6" s="59" t="n">
        <x:v>1.1802155172413793</x:v>
      </x:c>
      <x:c r="G6" s="59" t="n">
        <x:v>0.9878448275862068</x:v>
      </x:c>
      <x:c r="H6" s="59" t="n">
        <x:v>1.3842241379310345</x:v>
      </x:c>
      <x:c r="I6" s="59" t="n">
        <x:v>1.5975341990835061</x:v>
      </x:c>
      <x:c r="J6" s="59" t="n">
        <x:v>1.3314508914312624</x:v>
      </x:c>
      <x:c r="K6" s="59" t="n">
        <x:v>1.8469824674083382</x:v>
      </x:c>
      <x:c r="L6" s="60" t="n">
        <x:v>25.969676320944952</x:v>
      </x:c>
      <x:c r="M6" s="60" t="n">
        <x:v>21.351329000543203</x:v>
      </x:c>
      <x:c r="N6" s="60" t="n">
        <x:v>31.060602395574712</x:v>
      </x:c>
      <x:c r="O6" s="59" t="n">
        <x:v>-0.392801724137931</x:v>
      </x:c>
      <x:c r="P6" s="59" t="n">
        <x:v>0.9575</x:v>
      </x:c>
      <x:c r="Q6" s="60" t="n">
        <x:v>18.112149532710276</x:v>
      </x:c>
      <x:c r="R6" s="57" t="n">
        <x:v>119</x:v>
      </x:c>
      <x:c r="S6" s="59" t="n">
        <x:v>1.091</x:v>
      </x:c>
      <x:c r="T6" s="59" t="n">
        <x:v>0.08921551724137933</x:v>
      </x:c>
      <x:c r="U6" s="60" t="n">
        <x:v>1.7696763209449529</x:v>
      </x:c>
    </x:row>
    <x:row r="7">
      <x:c r="A7" s="33" t="str">
        <x:v>Broad group</x:v>
      </x:c>
      <x:c r="B7" s="33" t="str">
        <x:v>Leave target ecological-proxy group out</x:v>
      </x:c>
      <x:c r="C7" s="57" t="n">
        <x:v>128</x:v>
      </x:c>
      <x:c r="D7" s="57" t="n">
        <x:v>127</x:v>
      </x:c>
      <x:c r="E7" s="58" t="n">
        <x:v>99.21875</x:v>
      </x:c>
      <x:c r="F7" s="59" t="n">
        <x:v>1.0604330708661416</x:v>
      </x:c>
      <x:c r="G7" s="59" t="n">
        <x:v>0.8916141732283464</x:v>
      </x:c>
      <x:c r="H7" s="59" t="n">
        <x:v>1.2409448818897637</x:v>
      </x:c>
      <x:c r="I7" s="59" t="n">
        <x:v>1.4634676622410203</x:v>
      </x:c>
      <x:c r="J7" s="59" t="n">
        <x:v>1.228431799099718</x:v>
      </x:c>
      <x:c r="K7" s="59" t="n">
        <x:v>1.7022071128737861</x:v>
      </x:c>
      <x:c r="L7" s="60" t="n">
        <x:v>23.185815099821994</x:v>
      </x:c>
      <x:c r="M7" s="60" t="n">
        <x:v>18.871836829129077</x:v>
      </x:c>
      <x:c r="N7" s="60" t="n">
        <x:v>28.185601455367483</x:v>
      </x:c>
      <x:c r="O7" s="59" t="n">
        <x:v>-0.15295275590551177</x:v>
      </x:c>
      <x:c r="P7" s="59" t="n">
        <x:v>0.6949999999999998</x:v>
      </x:c>
      <x:c r="Q7" s="60" t="n">
        <x:v>14.705882352941178</x:v>
      </x:c>
      <x:c r="R7" s="57" t="n">
        <x:v>127</x:v>
      </x:c>
      <x:c r="S7" s="59" t="n">
        <x:v>1.027</x:v>
      </x:c>
      <x:c r="T7" s="59" t="n">
        <x:v>0.03343307086614167</x:v>
      </x:c>
      <x:c r="U7" s="60" t="n">
        <x:v>0.6458150998219949</x:v>
      </x:c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</x:row>
    <x:row r="9">
      <x:c r="A9" s="25" t="str">
        <x:v>Key result: compared with the original forced-level analysis, hierarchy-consistent holdouts changed genus performance negligibly, but increased MAE by 0.049 kJ g⁻¹ at family level, 0.089 kJ g⁻¹ at ecological-proxy level, and 0.033 kJ g⁻¹ at broad-group level. The largest relative change occurred for the ecological-proxy stress test (MAE +8.2%; MAPE +1.77 percentage points).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</x:row>
  </x:sheetData>
  <x:mergeCells>
    <x:mergeCell ref="A1:U1"/>
    <x:mergeCell ref="A9:U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32" t="str">
        <x:v>Fallback_level</x:v>
      </x:c>
      <x:c r="B1" s="32" t="str">
        <x:v>Holdout_unit_type</x:v>
      </x:c>
      <x:c r="C1" s="32" t="str">
        <x:v>Held_out_unit</x:v>
      </x:c>
      <x:c r="D1" s="32" t="str">
        <x:v>Taxon</x:v>
      </x:c>
      <x:c r="E1" s="32" t="str">
        <x:v>Observed_ED</x:v>
      </x:c>
      <x:c r="F1" s="32" t="str">
        <x:v>Predicted_ED</x:v>
      </x:c>
      <x:c r="G1" s="32" t="str">
        <x:v>Error</x:v>
      </x:c>
      <x:c r="H1" s="32" t="str">
        <x:v>Absolute_error</x:v>
      </x:c>
      <x:c r="I1" s="32" t="str">
        <x:v>APE_pct</x:v>
      </x:c>
      <x:c r="J1" s="32" t="str">
        <x:v>Genus</x:v>
      </x:c>
      <x:c r="K1" s="32" t="str">
        <x:v>Family</x:v>
      </x:c>
      <x:c r="L1" s="32" t="str">
        <x:v>Ecological_proxy</x:v>
      </x:c>
      <x:c r="M1" s="32" t="str">
        <x:v>Broad_group</x:v>
      </x:c>
    </x:row>
    <x:row r="2">
      <x:c r="A2" s="33" t="str">
        <x:v>Genus</x:v>
      </x:c>
      <x:c r="B2" s="33" t="str">
        <x:v>Species</x:v>
      </x:c>
      <x:c r="C2" s="33" t="str">
        <x:v>Aurelia aurita</x:v>
      </x:c>
      <x:c r="D2" s="33" t="str">
        <x:v>Aurelia aurita</x:v>
      </x:c>
      <x:c r="E2" s="59" t="n">
        <x:v>0.7</x:v>
      </x:c>
      <x:c r="F2" s="59"/>
      <x:c r="G2" s="59" t="str">
        <x:f>IF(F2="","",F2-E2)</x:f>
      </x:c>
      <x:c r="H2" s="59" t="str">
        <x:f>IF(G2="","",ABS(G2))</x:f>
      </x:c>
      <x:c r="I2" s="60" t="str">
        <x:f>IF(G2="","",ABS(G2/E2)*100)</x:f>
      </x:c>
      <x:c r="J2" s="33" t="str">
        <x:v>Aurelia</x:v>
      </x:c>
      <x:c r="K2" s="33" t="str">
        <x:v>Ulmaridae</x:v>
      </x:c>
      <x:c r="L2" s="33" t="str">
        <x:v>Gelatinous zooplankton - cnidarians</x:v>
      </x:c>
      <x:c r="M2" s="33" t="str">
        <x:v>Cnidaria</x:v>
      </x:c>
    </x:row>
    <x:row r="3">
      <x:c r="A3" s="33" t="str">
        <x:v>Genus</x:v>
      </x:c>
      <x:c r="B3" s="33" t="str">
        <x:v>Species</x:v>
      </x:c>
      <x:c r="C3" s="33" t="str">
        <x:v>Meganyctiphanes norvegica</x:v>
      </x:c>
      <x:c r="D3" s="33" t="str">
        <x:v>Meganyctiphanes norvegica</x:v>
      </x:c>
      <x:c r="E3" s="59" t="n">
        <x:v>3.9</x:v>
      </x:c>
      <x:c r="F3" s="59"/>
      <x:c r="G3" s="59" t="str">
        <x:f>IF(F3="","",F3-E3)</x:f>
      </x:c>
      <x:c r="H3" s="59" t="str">
        <x:f>IF(G3="","",ABS(G3))</x:f>
      </x:c>
      <x:c r="I3" s="60" t="str">
        <x:f>IF(G3="","",ABS(G3/E3)*100)</x:f>
      </x:c>
      <x:c r="J3" s="33" t="str">
        <x:v>Meganyctiphanes</x:v>
      </x:c>
      <x:c r="K3" s="33" t="str">
        <x:v>Euphausiidae</x:v>
      </x:c>
      <x:c r="L3" s="33" t="str">
        <x:v>Pelagic planktonic euphausiids</x:v>
      </x:c>
      <x:c r="M3" s="33" t="str">
        <x:v>Crustacea</x:v>
      </x:c>
    </x:row>
    <x:row r="4">
      <x:c r="A4" s="33" t="str">
        <x:v>Genus</x:v>
      </x:c>
      <x:c r="B4" s="33" t="str">
        <x:v>Species</x:v>
      </x:c>
      <x:c r="C4" s="33" t="str">
        <x:v>Acanthephyra purpurea</x:v>
      </x:c>
      <x:c r="D4" s="33" t="str">
        <x:v>Acanthephyra purpurea</x:v>
      </x:c>
      <x:c r="E4" s="59" t="n">
        <x:v>5.3</x:v>
      </x:c>
      <x:c r="F4" s="59"/>
      <x:c r="G4" s="59" t="str">
        <x:f>IF(F4="","",F4-E4)</x:f>
      </x:c>
      <x:c r="H4" s="59" t="str">
        <x:f>IF(G4="","",ABS(G4))</x:f>
      </x:c>
      <x:c r="I4" s="60" t="str">
        <x:f>IF(G4="","",ABS(G4/E4)*100)</x:f>
      </x:c>
      <x:c r="J4" s="33" t="str">
        <x:v>Acanthephyra</x:v>
      </x:c>
      <x:c r="K4" s="33" t="str">
        <x:v>Oplophoridae</x:v>
      </x:c>
      <x:c r="L4" s="33" t="str">
        <x:v>Decapods (ecology unspecified)</x:v>
      </x:c>
      <x:c r="M4" s="33" t="str">
        <x:v>Crustacea</x:v>
      </x:c>
    </x:row>
    <x:row r="5">
      <x:c r="A5" s="33" t="str">
        <x:v>Genus</x:v>
      </x:c>
      <x:c r="B5" s="33" t="str">
        <x:v>Species</x:v>
      </x:c>
      <x:c r="C5" s="33" t="str">
        <x:v>Palaemon longirostris</x:v>
      </x:c>
      <x:c r="D5" s="33" t="str">
        <x:v>Palaemon longirostris</x:v>
      </x:c>
      <x:c r="E5" s="59" t="n">
        <x:v>3.4</x:v>
      </x:c>
      <x:c r="F5" s="59"/>
      <x:c r="G5" s="59" t="str">
        <x:f>IF(F5="","",F5-E5)</x:f>
      </x:c>
      <x:c r="H5" s="59" t="str">
        <x:f>IF(G5="","",ABS(G5))</x:f>
      </x:c>
      <x:c r="I5" s="60" t="str">
        <x:f>IF(G5="","",ABS(G5/E5)*100)</x:f>
      </x:c>
      <x:c r="J5" s="33" t="str">
        <x:v>Palaemon</x:v>
      </x:c>
      <x:c r="K5" s="33" t="str">
        <x:v>Palaemonidae</x:v>
      </x:c>
      <x:c r="L5" s="33" t="str">
        <x:v>Decapods (ecology unspecified)</x:v>
      </x:c>
      <x:c r="M5" s="33" t="str">
        <x:v>Crustacea</x:v>
      </x:c>
    </x:row>
    <x:row r="6">
      <x:c r="A6" s="33" t="str">
        <x:v>Genus</x:v>
      </x:c>
      <x:c r="B6" s="33" t="str">
        <x:v>Species</x:v>
      </x:c>
      <x:c r="C6" s="33" t="str">
        <x:v>Pasiphaea sivado</x:v>
      </x:c>
      <x:c r="D6" s="33" t="str">
        <x:v>Pasiphaea sivado</x:v>
      </x:c>
      <x:c r="E6" s="59" t="n">
        <x:v>4.1</x:v>
      </x:c>
      <x:c r="F6" s="59"/>
      <x:c r="G6" s="59" t="str">
        <x:f>IF(F6="","",F6-E6)</x:f>
      </x:c>
      <x:c r="H6" s="59" t="str">
        <x:f>IF(G6="","",ABS(G6))</x:f>
      </x:c>
      <x:c r="I6" s="60" t="str">
        <x:f>IF(G6="","",ABS(G6/E6)*100)</x:f>
      </x:c>
      <x:c r="J6" s="33" t="str">
        <x:v>Pasiphaea</x:v>
      </x:c>
      <x:c r="K6" s="33" t="str">
        <x:v>Pasiphaeidae</x:v>
      </x:c>
      <x:c r="L6" s="33" t="str">
        <x:v>Decapods (ecology unspecified)</x:v>
      </x:c>
      <x:c r="M6" s="33" t="str">
        <x:v>Crustacea</x:v>
      </x:c>
    </x:row>
    <x:row r="7">
      <x:c r="A7" s="33" t="str">
        <x:v>Genus</x:v>
      </x:c>
      <x:c r="B7" s="33" t="str">
        <x:v>Species</x:v>
      </x:c>
      <x:c r="C7" s="33" t="str">
        <x:v>Pachygrapsus marmoratus</x:v>
      </x:c>
      <x:c r="D7" s="33" t="str">
        <x:v>Pachygrapsus marmoratus</x:v>
      </x:c>
      <x:c r="E7" s="59" t="n">
        <x:v>5.8</x:v>
      </x:c>
      <x:c r="F7" s="59"/>
      <x:c r="G7" s="59" t="str">
        <x:f>IF(F7="","",F7-E7)</x:f>
      </x:c>
      <x:c r="H7" s="59" t="str">
        <x:f>IF(G7="","",ABS(G7))</x:f>
      </x:c>
      <x:c r="I7" s="60" t="str">
        <x:f>IF(G7="","",ABS(G7/E7)*100)</x:f>
      </x:c>
      <x:c r="J7" s="33" t="str">
        <x:v>Pachygrapsus</x:v>
      </x:c>
      <x:c r="K7" s="33" t="str">
        <x:v>Grapsidae</x:v>
      </x:c>
      <x:c r="L7" s="33" t="str">
        <x:v>Benthic decapods</x:v>
      </x:c>
      <x:c r="M7" s="33" t="str">
        <x:v>Crustacea</x:v>
      </x:c>
    </x:row>
    <x:row r="8">
      <x:c r="A8" s="33" t="str">
        <x:v>Genus</x:v>
      </x:c>
      <x:c r="B8" s="33" t="str">
        <x:v>Species</x:v>
      </x:c>
      <x:c r="C8" s="33" t="str">
        <x:v>Polybius henslowii</x:v>
      </x:c>
      <x:c r="D8" s="33" t="str">
        <x:v>Polybius henslowii</x:v>
      </x:c>
      <x:c r="E8" s="59" t="n">
        <x:v>4.2</x:v>
      </x:c>
      <x:c r="F8" s="59"/>
      <x:c r="G8" s="59" t="str">
        <x:f>IF(F8="","",F8-E8)</x:f>
      </x:c>
      <x:c r="H8" s="59" t="str">
        <x:f>IF(G8="","",ABS(G8))</x:f>
      </x:c>
      <x:c r="I8" s="60" t="str">
        <x:f>IF(G8="","",ABS(G8/E8)*100)</x:f>
      </x:c>
      <x:c r="J8" s="33" t="str">
        <x:v>Polybius</x:v>
      </x:c>
      <x:c r="K8" s="33" t="str">
        <x:v>Portunidae</x:v>
      </x:c>
      <x:c r="L8" s="33" t="str">
        <x:v>Benthic decapods</x:v>
      </x:c>
      <x:c r="M8" s="33" t="str">
        <x:v>Crustacea</x:v>
      </x:c>
    </x:row>
    <x:row r="9">
      <x:c r="A9" s="33" t="str">
        <x:v>Genus</x:v>
      </x:c>
      <x:c r="B9" s="33" t="str">
        <x:v>Species</x:v>
      </x:c>
      <x:c r="C9" s="33" t="str">
        <x:v>Necora puber</x:v>
      </x:c>
      <x:c r="D9" s="33" t="str">
        <x:v>Necora puber</x:v>
      </x:c>
      <x:c r="E9" s="59" t="n">
        <x:v>6.9</x:v>
      </x:c>
      <x:c r="F9" s="59"/>
      <x:c r="G9" s="59" t="str">
        <x:f>IF(F9="","",F9-E9)</x:f>
      </x:c>
      <x:c r="H9" s="59" t="str">
        <x:f>IF(G9="","",ABS(G9))</x:f>
      </x:c>
      <x:c r="I9" s="60" t="str">
        <x:f>IF(G9="","",ABS(G9/E9)*100)</x:f>
      </x:c>
      <x:c r="J9" s="33" t="str">
        <x:v>Necora</x:v>
      </x:c>
      <x:c r="K9" s="33" t="str">
        <x:v>Portunidae</x:v>
      </x:c>
      <x:c r="L9" s="33" t="str">
        <x:v>Benthic decapods</x:v>
      </x:c>
      <x:c r="M9" s="33" t="str">
        <x:v>Crustacea</x:v>
      </x:c>
    </x:row>
    <x:row r="10">
      <x:c r="A10" s="33" t="str">
        <x:v>Genus</x:v>
      </x:c>
      <x:c r="B10" s="33" t="str">
        <x:v>Species</x:v>
      </x:c>
      <x:c r="C10" s="33" t="str">
        <x:v>Loligo forbesi</x:v>
      </x:c>
      <x:c r="D10" s="33" t="str">
        <x:v>Loligo forbesi</x:v>
      </x:c>
      <x:c r="E10" s="59" t="n">
        <x:v>4.6</x:v>
      </x:c>
      <x:c r="F10" s="59" t="n">
        <x:v>4.8</x:v>
      </x:c>
      <x:c r="G10" s="59" t="n">
        <x:f>IF(F10="","",F10-E10)</x:f>
        <x:v>0.20000000000000018</x:v>
      </x:c>
      <x:c r="H10" s="59" t="n">
        <x:f>IF(G10="","",ABS(G10))</x:f>
        <x:v>0.20000000000000018</x:v>
      </x:c>
      <x:c r="I10" s="60" t="n">
        <x:f>IF(G10="","",ABS(G10/E10)*100)</x:f>
        <x:v>4.347826086956526</x:v>
      </x:c>
      <x:c r="J10" s="33" t="str">
        <x:v>Loligo</x:v>
      </x:c>
      <x:c r="K10" s="33" t="str">
        <x:v>Loliginidae</x:v>
      </x:c>
      <x:c r="L10" s="33" t="str">
        <x:v>Pelagic squids</x:v>
      </x:c>
      <x:c r="M10" s="33" t="str">
        <x:v>Cephalopoda</x:v>
      </x:c>
    </x:row>
    <x:row r="11">
      <x:c r="A11" s="33" t="str">
        <x:v>Genus</x:v>
      </x:c>
      <x:c r="B11" s="33" t="str">
        <x:v>Species</x:v>
      </x:c>
      <x:c r="C11" s="33" t="str">
        <x:v>Loligo vulgaris</x:v>
      </x:c>
      <x:c r="D11" s="33" t="str">
        <x:v>Loligo vulgaris</x:v>
      </x:c>
      <x:c r="E11" s="59" t="n">
        <x:v>4.8</x:v>
      </x:c>
      <x:c r="F11" s="59" t="n">
        <x:v>4.6</x:v>
      </x:c>
      <x:c r="G11" s="59" t="n">
        <x:f>IF(F11="","",F11-E11)</x:f>
        <x:v>-0.20000000000000018</x:v>
      </x:c>
      <x:c r="H11" s="59" t="n">
        <x:f>IF(G11="","",ABS(G11))</x:f>
        <x:v>0.20000000000000018</x:v>
      </x:c>
      <x:c r="I11" s="60" t="n">
        <x:f>IF(G11="","",ABS(G11/E11)*100)</x:f>
        <x:v>4.1666666666666705</x:v>
      </x:c>
      <x:c r="J11" s="33" t="str">
        <x:v>Loligo</x:v>
      </x:c>
      <x:c r="K11" s="33" t="str">
        <x:v>Loliginidae</x:v>
      </x:c>
      <x:c r="L11" s="33" t="str">
        <x:v>Pelagic squids</x:v>
      </x:c>
      <x:c r="M11" s="33" t="str">
        <x:v>Cephalopoda</x:v>
      </x:c>
    </x:row>
    <x:row r="12">
      <x:c r="A12" s="33" t="str">
        <x:v>Genus</x:v>
      </x:c>
      <x:c r="B12" s="33" t="str">
        <x:v>Species</x:v>
      </x:c>
      <x:c r="C12" s="33" t="str">
        <x:v>Illex coindeti</x:v>
      </x:c>
      <x:c r="D12" s="33" t="str">
        <x:v>Illex coindeti</x:v>
      </x:c>
      <x:c r="E12" s="59" t="n">
        <x:v>4.3</x:v>
      </x:c>
      <x:c r="F12" s="59" t="n">
        <x:v>5.45</x:v>
      </x:c>
      <x:c r="G12" s="59" t="n">
        <x:f>IF(F12="","",F12-E12)</x:f>
        <x:v>1.1500000000000004</x:v>
      </x:c>
      <x:c r="H12" s="59" t="n">
        <x:f>IF(G12="","",ABS(G12))</x:f>
        <x:v>1.1500000000000004</x:v>
      </x:c>
      <x:c r="I12" s="60" t="n">
        <x:f>IF(G12="","",ABS(G12/E12)*100)</x:f>
        <x:v>26.744186046511636</x:v>
      </x:c>
      <x:c r="J12" s="33" t="str">
        <x:v>Illex</x:v>
      </x:c>
      <x:c r="K12" s="33" t="str">
        <x:v>Ommastrephidae</x:v>
      </x:c>
      <x:c r="L12" s="33" t="str">
        <x:v>Pelagic squids</x:v>
      </x:c>
      <x:c r="M12" s="33" t="str">
        <x:v>Cephalopoda</x:v>
      </x:c>
    </x:row>
    <x:row r="13">
      <x:c r="A13" s="33" t="str">
        <x:v>Genus</x:v>
      </x:c>
      <x:c r="B13" s="33" t="str">
        <x:v>Species</x:v>
      </x:c>
      <x:c r="C13" s="33" t="str">
        <x:v>Todaropsis eblanae</x:v>
      </x:c>
      <x:c r="D13" s="33" t="str">
        <x:v>Todaropsis eblanae</x:v>
      </x:c>
      <x:c r="E13" s="59" t="n">
        <x:v>4.4</x:v>
      </x:c>
      <x:c r="F13" s="59"/>
      <x:c r="G13" s="59" t="str">
        <x:f>IF(F13="","",F13-E13)</x:f>
      </x:c>
      <x:c r="H13" s="59" t="str">
        <x:f>IF(G13="","",ABS(G13))</x:f>
      </x:c>
      <x:c r="I13" s="60" t="str">
        <x:f>IF(G13="","",ABS(G13/E13)*100)</x:f>
      </x:c>
      <x:c r="J13" s="33" t="str">
        <x:v>Todaropsis</x:v>
      </x:c>
      <x:c r="K13" s="33" t="str">
        <x:v>Ommastrephidae</x:v>
      </x:c>
      <x:c r="L13" s="33" t="str">
        <x:v>Pelagic squids</x:v>
      </x:c>
      <x:c r="M13" s="33" t="str">
        <x:v>Cephalopoda</x:v>
      </x:c>
    </x:row>
    <x:row r="14">
      <x:c r="A14" s="33" t="str">
        <x:v>Genus</x:v>
      </x:c>
      <x:c r="B14" s="33" t="str">
        <x:v>Species</x:v>
      </x:c>
      <x:c r="C14" s="33" t="str">
        <x:v>Sepia officinalis</x:v>
      </x:c>
      <x:c r="D14" s="33" t="str">
        <x:v>Sepia officinalis</x:v>
      </x:c>
      <x:c r="E14" s="59" t="n">
        <x:v>3.8</x:v>
      </x:c>
      <x:c r="F14" s="59"/>
      <x:c r="G14" s="59" t="str">
        <x:f>IF(F14="","",F14-E14)</x:f>
      </x:c>
      <x:c r="H14" s="59" t="str">
        <x:f>IF(G14="","",ABS(G14))</x:f>
      </x:c>
      <x:c r="I14" s="60" t="str">
        <x:f>IF(G14="","",ABS(G14/E14)*100)</x:f>
      </x:c>
      <x:c r="J14" s="33" t="str">
        <x:v>Sepia</x:v>
      </x:c>
      <x:c r="K14" s="33" t="str">
        <x:v>Sepiidae</x:v>
      </x:c>
      <x:c r="L14" s="33" t="str">
        <x:v>Demersal/benthopelagic cuttlefishes</x:v>
      </x:c>
      <x:c r="M14" s="33" t="str">
        <x:v>Cephalopoda</x:v>
      </x:c>
    </x:row>
    <x:row r="15">
      <x:c r="A15" s="33" t="str">
        <x:v>Genus</x:v>
      </x:c>
      <x:c r="B15" s="33" t="str">
        <x:v>Species</x:v>
      </x:c>
      <x:c r="C15" s="33" t="str">
        <x:v>Eledone cirrhosa</x:v>
      </x:c>
      <x:c r="D15" s="33" t="str">
        <x:v>Eledone cirrhosa</x:v>
      </x:c>
      <x:c r="E15" s="59" t="n">
        <x:v>4.7</x:v>
      </x:c>
      <x:c r="F15" s="59"/>
      <x:c r="G15" s="59" t="str">
        <x:f>IF(F15="","",F15-E15)</x:f>
      </x:c>
      <x:c r="H15" s="59" t="str">
        <x:f>IF(G15="","",ABS(G15))</x:f>
      </x:c>
      <x:c r="I15" s="60" t="str">
        <x:f>IF(G15="","",ABS(G15/E15)*100)</x:f>
      </x:c>
      <x:c r="J15" s="33" t="str">
        <x:v>Eledone</x:v>
      </x:c>
      <x:c r="K15" s="33" t="str">
        <x:v>Octopodidae</x:v>
      </x:c>
      <x:c r="L15" s="33" t="str">
        <x:v>Benthic octopuses</x:v>
      </x:c>
      <x:c r="M15" s="33" t="str">
        <x:v>Cephalopoda</x:v>
      </x:c>
    </x:row>
    <x:row r="16">
      <x:c r="A16" s="33" t="str">
        <x:v>Genus</x:v>
      </x:c>
      <x:c r="B16" s="33" t="str">
        <x:v>Species</x:v>
      </x:c>
      <x:c r="C16" s="33" t="str">
        <x:v>Scyliorhinus canicula</x:v>
      </x:c>
      <x:c r="D16" s="33" t="str">
        <x:v>Scyliorhinus canicula</x:v>
      </x:c>
      <x:c r="E16" s="59" t="n">
        <x:v>6.4</x:v>
      </x:c>
      <x:c r="F16" s="59"/>
      <x:c r="G16" s="59" t="str">
        <x:f>IF(F16="","",F16-E16)</x:f>
      </x:c>
      <x:c r="H16" s="59" t="str">
        <x:f>IF(G16="","",ABS(G16))</x:f>
      </x:c>
      <x:c r="I16" s="60" t="str">
        <x:f>IF(G16="","",ABS(G16/E16)*100)</x:f>
      </x:c>
      <x:c r="J16" s="33" t="str">
        <x:v>Scyliorhinus</x:v>
      </x:c>
      <x:c r="K16" s="33" t="str">
        <x:v>Scyliorhinidae</x:v>
      </x:c>
      <x:c r="L16" s="33" t="str">
        <x:v>Demersal sharks</x:v>
      </x:c>
      <x:c r="M16" s="33" t="str">
        <x:v>Chondrichthyes</x:v>
      </x:c>
    </x:row>
    <x:row r="17">
      <x:c r="A17" s="33" t="str">
        <x:v>Genus</x:v>
      </x:c>
      <x:c r="B17" s="33" t="str">
        <x:v>Species</x:v>
      </x:c>
      <x:c r="C17" s="33" t="str">
        <x:v>Leucoraja naevus</x:v>
      </x:c>
      <x:c r="D17" s="33" t="str">
        <x:v>Leucoraja naevus</x:v>
      </x:c>
      <x:c r="E17" s="59" t="n">
        <x:v>5.7</x:v>
      </x:c>
      <x:c r="F17" s="59"/>
      <x:c r="G17" s="59" t="str">
        <x:f>IF(F17="","",F17-E17)</x:f>
      </x:c>
      <x:c r="H17" s="59" t="str">
        <x:f>IF(G17="","",ABS(G17))</x:f>
      </x:c>
      <x:c r="I17" s="60" t="str">
        <x:f>IF(G17="","",ABS(G17/E17)*100)</x:f>
      </x:c>
      <x:c r="J17" s="33" t="str">
        <x:v>Leucoraja</x:v>
      </x:c>
      <x:c r="K17" s="33" t="str">
        <x:v>Rajidae</x:v>
      </x:c>
      <x:c r="L17" s="33" t="str">
        <x:v>Demersal rays</x:v>
      </x:c>
      <x:c r="M17" s="33" t="str">
        <x:v>Chondrichthyes</x:v>
      </x:c>
    </x:row>
    <x:row r="18">
      <x:c r="A18" s="33" t="str">
        <x:v>Genus</x:v>
      </x:c>
      <x:c r="B18" s="33" t="str">
        <x:v>Species</x:v>
      </x:c>
      <x:c r="C18" s="33" t="str">
        <x:v>Chimaera monstrosa</x:v>
      </x:c>
      <x:c r="D18" s="33" t="str">
        <x:v>Chimaera monstrosa</x:v>
      </x:c>
      <x:c r="E18" s="59" t="n">
        <x:v>3.9</x:v>
      </x:c>
      <x:c r="F18" s="59"/>
      <x:c r="G18" s="59" t="str">
        <x:f>IF(F18="","",F18-E18)</x:f>
      </x:c>
      <x:c r="H18" s="59" t="str">
        <x:f>IF(G18="","",ABS(G18))</x:f>
      </x:c>
      <x:c r="I18" s="60" t="str">
        <x:f>IF(G18="","",ABS(G18/E18)*100)</x:f>
      </x:c>
      <x:c r="J18" s="33" t="str">
        <x:v>Chimaera</x:v>
      </x:c>
      <x:c r="K18" s="33" t="str">
        <x:v>Chimaeridae</x:v>
      </x:c>
      <x:c r="L18" s="33" t="str">
        <x:v>Demersal chimaeras</x:v>
      </x:c>
      <x:c r="M18" s="33" t="str">
        <x:v>Chondrichthyes</x:v>
      </x:c>
    </x:row>
    <x:row r="19">
      <x:c r="A19" s="33" t="str">
        <x:v>Genus</x:v>
      </x:c>
      <x:c r="B19" s="33" t="str">
        <x:v>Species</x:v>
      </x:c>
      <x:c r="C19" s="33" t="str">
        <x:v>Serrivomer beanii</x:v>
      </x:c>
      <x:c r="D19" s="33" t="str">
        <x:v>Serrivomer beanii</x:v>
      </x:c>
      <x:c r="E19" s="59" t="n">
        <x:v>2.1</x:v>
      </x:c>
      <x:c r="F19" s="59"/>
      <x:c r="G19" s="59" t="str">
        <x:f>IF(F19="","",F19-E19)</x:f>
      </x:c>
      <x:c r="H19" s="59" t="str">
        <x:f>IF(G19="","",ABS(G19))</x:f>
      </x:c>
      <x:c r="I19" s="60" t="str">
        <x:f>IF(G19="","",ABS(G19/E19)*100)</x:f>
      </x:c>
      <x:c r="J19" s="33" t="str">
        <x:v>Serrivomer</x:v>
      </x:c>
      <x:c r="K19" s="33" t="str">
        <x:v>Serrivomeridae</x:v>
      </x:c>
      <x:c r="L19" s="33" t="str">
        <x:v>Unclassified teleosts</x:v>
      </x:c>
      <x:c r="M19" s="33" t="str">
        <x:v>Teleostei</x:v>
      </x:c>
    </x:row>
    <x:row r="20">
      <x:c r="A20" s="33" t="str">
        <x:v>Genus</x:v>
      </x:c>
      <x:c r="B20" s="33" t="str">
        <x:v>Species</x:v>
      </x:c>
      <x:c r="C20" s="33" t="str">
        <x:v>Sprattus sprattus</x:v>
      </x:c>
      <x:c r="D20" s="33" t="str">
        <x:v>Sprattus sprattus</x:v>
      </x:c>
      <x:c r="E20" s="59" t="n">
        <x:v>6.5</x:v>
      </x:c>
      <x:c r="F20" s="59"/>
      <x:c r="G20" s="59" t="str">
        <x:f>IF(F20="","",F20-E20)</x:f>
      </x:c>
      <x:c r="H20" s="59" t="str">
        <x:f>IF(G20="","",ABS(G20))</x:f>
      </x:c>
      <x:c r="I20" s="60" t="str">
        <x:f>IF(G20="","",ABS(G20/E20)*100)</x:f>
      </x:c>
      <x:c r="J20" s="33" t="str">
        <x:v>Sprattus</x:v>
      </x:c>
      <x:c r="K20" s="33" t="str">
        <x:v>Clupeidae</x:v>
      </x:c>
      <x:c r="L20" s="33" t="str">
        <x:v>Small pelagic forage fishes</x:v>
      </x:c>
      <x:c r="M20" s="33" t="str">
        <x:v>Teleostei</x:v>
      </x:c>
    </x:row>
    <x:row r="21">
      <x:c r="A21" s="33" t="str">
        <x:v>Genus</x:v>
      </x:c>
      <x:c r="B21" s="33" t="str">
        <x:v>Species</x:v>
      </x:c>
      <x:c r="C21" s="33" t="str">
        <x:v>Sardina pilchardus</x:v>
      </x:c>
      <x:c r="D21" s="33" t="str">
        <x:v>Sardina pilchardus</x:v>
      </x:c>
      <x:c r="E21" s="59" t="n">
        <x:v>8.7</x:v>
      </x:c>
      <x:c r="F21" s="59"/>
      <x:c r="G21" s="59" t="str">
        <x:f>IF(F21="","",F21-E21)</x:f>
      </x:c>
      <x:c r="H21" s="59" t="str">
        <x:f>IF(G21="","",ABS(G21))</x:f>
      </x:c>
      <x:c r="I21" s="60" t="str">
        <x:f>IF(G21="","",ABS(G21/E21)*100)</x:f>
      </x:c>
      <x:c r="J21" s="33" t="str">
        <x:v>Sardina</x:v>
      </x:c>
      <x:c r="K21" s="33" t="str">
        <x:v>Clupeidae</x:v>
      </x:c>
      <x:c r="L21" s="33" t="str">
        <x:v>Small pelagic forage fishes</x:v>
      </x:c>
      <x:c r="M21" s="33" t="str">
        <x:v>Teleostei</x:v>
      </x:c>
    </x:row>
    <x:row r="22">
      <x:c r="A22" s="33" t="str">
        <x:v>Genus</x:v>
      </x:c>
      <x:c r="B22" s="33" t="str">
        <x:v>Species</x:v>
      </x:c>
      <x:c r="C22" s="33" t="str">
        <x:v>Clupea harengus</x:v>
      </x:c>
      <x:c r="D22" s="33" t="str">
        <x:v>Clupea harengus</x:v>
      </x:c>
      <x:c r="E22" s="59" t="n">
        <x:v>7.955</x:v>
      </x:c>
      <x:c r="F22" s="59" t="n">
        <x:v>7</x:v>
      </x:c>
      <x:c r="G22" s="59" t="n">
        <x:f>IF(F22="","",F22-E22)</x:f>
        <x:v>-0.9550000000000001</x:v>
      </x:c>
      <x:c r="H22" s="59" t="n">
        <x:f>IF(G22="","",ABS(G22))</x:f>
        <x:v>0.9550000000000001</x:v>
      </x:c>
      <x:c r="I22" s="60" t="n">
        <x:f>IF(G22="","",ABS(G22/E22)*100)</x:f>
        <x:v>12.005028284098053</x:v>
      </x:c>
      <x:c r="J22" s="33" t="str">
        <x:v>Clupea</x:v>
      </x:c>
      <x:c r="K22" s="33" t="str">
        <x:v>Clupeidae</x:v>
      </x:c>
      <x:c r="L22" s="33" t="str">
        <x:v>Small pelagic forage fishes</x:v>
      </x:c>
      <x:c r="M22" s="33" t="str">
        <x:v>Teleostei</x:v>
      </x:c>
    </x:row>
    <x:row r="23">
      <x:c r="A23" s="33" t="str">
        <x:v>Genus</x:v>
      </x:c>
      <x:c r="B23" s="33" t="str">
        <x:v>Species</x:v>
      </x:c>
      <x:c r="C23" s="33" t="str">
        <x:v>Engraulis encrasicolus</x:v>
      </x:c>
      <x:c r="D23" s="33" t="str">
        <x:v>Engraulis encrasicolus</x:v>
      </x:c>
      <x:c r="E23" s="59" t="n">
        <x:v>5.8</x:v>
      </x:c>
      <x:c r="F23" s="59" t="n">
        <x:v>7.85</x:v>
      </x:c>
      <x:c r="G23" s="59" t="n">
        <x:f>IF(F23="","",F23-E23)</x:f>
        <x:v>2.05</x:v>
      </x:c>
      <x:c r="H23" s="59" t="n">
        <x:f>IF(G23="","",ABS(G23))</x:f>
        <x:v>2.05</x:v>
      </x:c>
      <x:c r="I23" s="60" t="n">
        <x:f>IF(G23="","",ABS(G23/E23)*100)</x:f>
        <x:v>35.3448275862069</x:v>
      </x:c>
      <x:c r="J23" s="33" t="str">
        <x:v>Engraulis</x:v>
      </x:c>
      <x:c r="K23" s="33" t="str">
        <x:v>Engraulidae</x:v>
      </x:c>
      <x:c r="L23" s="33" t="str">
        <x:v>Small pelagic forage fishes</x:v>
      </x:c>
      <x:c r="M23" s="33" t="str">
        <x:v>Teleostei</x:v>
      </x:c>
    </x:row>
    <x:row r="24">
      <x:c r="A24" s="33" t="str">
        <x:v>Genus</x:v>
      </x:c>
      <x:c r="B24" s="33" t="str">
        <x:v>Species</x:v>
      </x:c>
      <x:c r="C24" s="33" t="str">
        <x:v>Xenodermichtys copei</x:v>
      </x:c>
      <x:c r="D24" s="33" t="str">
        <x:v>Xenodermichtys copei</x:v>
      </x:c>
      <x:c r="E24" s="59" t="n">
        <x:v>2.2</x:v>
      </x:c>
      <x:c r="F24" s="59"/>
      <x:c r="G24" s="59" t="str">
        <x:f>IF(F24="","",F24-E24)</x:f>
      </x:c>
      <x:c r="H24" s="59" t="str">
        <x:f>IF(G24="","",ABS(G24))</x:f>
      </x:c>
      <x:c r="I24" s="60" t="str">
        <x:f>IF(G24="","",ABS(G24/E24)*100)</x:f>
      </x:c>
      <x:c r="J24" s="33" t="str">
        <x:v>Xenodermichtys</x:v>
      </x:c>
      <x:c r="K24" s="33" t="str">
        <x:v>Alepocephalidae</x:v>
      </x:c>
      <x:c r="L24" s="33" t="str">
        <x:v>Unclassified teleosts</x:v>
      </x:c>
      <x:c r="M24" s="33" t="str">
        <x:v>Teleostei</x:v>
      </x:c>
    </x:row>
    <x:row r="25">
      <x:c r="A25" s="33" t="str">
        <x:v>Genus</x:v>
      </x:c>
      <x:c r="B25" s="33" t="str">
        <x:v>Species</x:v>
      </x:c>
      <x:c r="C25" s="33" t="str">
        <x:v>Argentina sphyraena</x:v>
      </x:c>
      <x:c r="D25" s="33" t="str">
        <x:v>Argentina sphyraena</x:v>
      </x:c>
      <x:c r="E25" s="59" t="n">
        <x:v>6.1</x:v>
      </x:c>
      <x:c r="F25" s="59"/>
      <x:c r="G25" s="59" t="str">
        <x:f>IF(F25="","",F25-E25)</x:f>
      </x:c>
      <x:c r="H25" s="59" t="str">
        <x:f>IF(G25="","",ABS(G25))</x:f>
      </x:c>
      <x:c r="I25" s="60" t="str">
        <x:f>IF(G25="","",ABS(G25/E25)*100)</x:f>
      </x:c>
      <x:c r="J25" s="33" t="str">
        <x:v>Argentina</x:v>
      </x:c>
      <x:c r="K25" s="33" t="str">
        <x:v>Argentinidae</x:v>
      </x:c>
      <x:c r="L25" s="33" t="str">
        <x:v>Unclassified teleosts</x:v>
      </x:c>
      <x:c r="M25" s="33" t="str">
        <x:v>Teleostei</x:v>
      </x:c>
    </x:row>
    <x:row r="26">
      <x:c r="A26" s="33" t="str">
        <x:v>Genus</x:v>
      </x:c>
      <x:c r="B26" s="33" t="str">
        <x:v>Species</x:v>
      </x:c>
      <x:c r="C26" s="33" t="str">
        <x:v>Normichthys operosa</x:v>
      </x:c>
      <x:c r="D26" s="33" t="str">
        <x:v>Normichthys operosa</x:v>
      </x:c>
      <x:c r="E26" s="59" t="n">
        <x:v>2.6</x:v>
      </x:c>
      <x:c r="F26" s="59"/>
      <x:c r="G26" s="59" t="str">
        <x:f>IF(F26="","",F26-E26)</x:f>
      </x:c>
      <x:c r="H26" s="59" t="str">
        <x:f>IF(G26="","",ABS(G26))</x:f>
      </x:c>
      <x:c r="I26" s="60" t="str">
        <x:f>IF(G26="","",ABS(G26/E26)*100)</x:f>
      </x:c>
      <x:c r="J26" s="33" t="str">
        <x:v>Normichthys</x:v>
      </x:c>
      <x:c r="K26" s="33" t="str">
        <x:v>Platytroctidae</x:v>
      </x:c>
      <x:c r="L26" s="33" t="str">
        <x:v>Unclassified teleosts</x:v>
      </x:c>
      <x:c r="M26" s="33" t="str">
        <x:v>Teleostei</x:v>
      </x:c>
    </x:row>
    <x:row r="27">
      <x:c r="A27" s="33" t="str">
        <x:v>Genus</x:v>
      </x:c>
      <x:c r="B27" s="33" t="str">
        <x:v>Species</x:v>
      </x:c>
      <x:c r="C27" s="33" t="str">
        <x:v>Argyropelecus olfersii</x:v>
      </x:c>
      <x:c r="D27" s="33" t="str">
        <x:v>Argyropelecus olfersii</x:v>
      </x:c>
      <x:c r="E27" s="59" t="n">
        <x:v>3.5</x:v>
      </x:c>
      <x:c r="F27" s="59"/>
      <x:c r="G27" s="59" t="str">
        <x:f>IF(F27="","",F27-E27)</x:f>
      </x:c>
      <x:c r="H27" s="59" t="str">
        <x:f>IF(G27="","",ABS(G27))</x:f>
      </x:c>
      <x:c r="I27" s="60" t="str">
        <x:f>IF(G27="","",ABS(G27/E27)*100)</x:f>
      </x:c>
      <x:c r="J27" s="33" t="str">
        <x:v>Argyropelecus</x:v>
      </x:c>
      <x:c r="K27" s="33" t="str">
        <x:v>Sternoptychidae</x:v>
      </x:c>
      <x:c r="L27" s="33" t="str">
        <x:v>Mesopelagic forage fishes</x:v>
      </x:c>
      <x:c r="M27" s="33" t="str">
        <x:v>Teleostei</x:v>
      </x:c>
    </x:row>
    <x:row r="28">
      <x:c r="A28" s="33" t="str">
        <x:v>Genus</x:v>
      </x:c>
      <x:c r="B28" s="33" t="str">
        <x:v>Species</x:v>
      </x:c>
      <x:c r="C28" s="33" t="str">
        <x:v>Maurolicus muelleri</x:v>
      </x:c>
      <x:c r="D28" s="33" t="str">
        <x:v>Maurolicus muelleri</x:v>
      </x:c>
      <x:c r="E28" s="59" t="n">
        <x:v>4.2</x:v>
      </x:c>
      <x:c r="F28" s="59"/>
      <x:c r="G28" s="59" t="str">
        <x:f>IF(F28="","",F28-E28)</x:f>
      </x:c>
      <x:c r="H28" s="59" t="str">
        <x:f>IF(G28="","",ABS(G28))</x:f>
      </x:c>
      <x:c r="I28" s="60" t="str">
        <x:f>IF(G28="","",ABS(G28/E28)*100)</x:f>
      </x:c>
      <x:c r="J28" s="33" t="str">
        <x:v>Maurolicus</x:v>
      </x:c>
      <x:c r="K28" s="33" t="str">
        <x:v>Sternoptychidae</x:v>
      </x:c>
      <x:c r="L28" s="33" t="str">
        <x:v>Mesopelagic forage fishes</x:v>
      </x:c>
      <x:c r="M28" s="33" t="str">
        <x:v>Teleostei</x:v>
      </x:c>
    </x:row>
    <x:row r="29">
      <x:c r="A29" s="33" t="str">
        <x:v>Genus</x:v>
      </x:c>
      <x:c r="B29" s="33" t="str">
        <x:v>Species</x:v>
      </x:c>
      <x:c r="C29" s="33" t="str">
        <x:v>Stomias boa</x:v>
      </x:c>
      <x:c r="D29" s="33" t="str">
        <x:v>Stomias boa</x:v>
      </x:c>
      <x:c r="E29" s="59" t="n">
        <x:v>2.8</x:v>
      </x:c>
      <x:c r="F29" s="59"/>
      <x:c r="G29" s="59" t="str">
        <x:f>IF(F29="","",F29-E29)</x:f>
      </x:c>
      <x:c r="H29" s="59" t="str">
        <x:f>IF(G29="","",ABS(G29))</x:f>
      </x:c>
      <x:c r="I29" s="60" t="str">
        <x:f>IF(G29="","",ABS(G29/E29)*100)</x:f>
      </x:c>
      <x:c r="J29" s="33" t="str">
        <x:v>Stomias</x:v>
      </x:c>
      <x:c r="K29" s="33" t="str">
        <x:v>Stomiidae</x:v>
      </x:c>
      <x:c r="L29" s="33" t="str">
        <x:v>Unclassified teleosts</x:v>
      </x:c>
      <x:c r="M29" s="33" t="str">
        <x:v>Teleostei</x:v>
      </x:c>
    </x:row>
    <x:row r="30">
      <x:c r="A30" s="33" t="str">
        <x:v>Genus</x:v>
      </x:c>
      <x:c r="B30" s="33" t="str">
        <x:v>Species</x:v>
      </x:c>
      <x:c r="C30" s="33" t="str">
        <x:v>Arctozenus risso</x:v>
      </x:c>
      <x:c r="D30" s="33" t="str">
        <x:v>Arctozenus risso</x:v>
      </x:c>
      <x:c r="E30" s="59" t="n">
        <x:v>4.3</x:v>
      </x:c>
      <x:c r="F30" s="59"/>
      <x:c r="G30" s="59" t="str">
        <x:f>IF(F30="","",F30-E30)</x:f>
      </x:c>
      <x:c r="H30" s="59" t="str">
        <x:f>IF(G30="","",ABS(G30))</x:f>
      </x:c>
      <x:c r="I30" s="60" t="str">
        <x:f>IF(G30="","",ABS(G30/E30)*100)</x:f>
      </x:c>
      <x:c r="J30" s="33" t="str">
        <x:v>Arctozenus</x:v>
      </x:c>
      <x:c r="K30" s="33" t="str">
        <x:v>Paralepididae</x:v>
      </x:c>
      <x:c r="L30" s="33" t="str">
        <x:v>Unclassified teleosts</x:v>
      </x:c>
      <x:c r="M30" s="33" t="str">
        <x:v>Teleostei</x:v>
      </x:c>
    </x:row>
    <x:row r="31">
      <x:c r="A31" s="33" t="str">
        <x:v>Genus</x:v>
      </x:c>
      <x:c r="B31" s="33" t="str">
        <x:v>Species</x:v>
      </x:c>
      <x:c r="C31" s="33" t="str">
        <x:v>Lampanyctus crocodilus</x:v>
      </x:c>
      <x:c r="D31" s="33" t="str">
        <x:v>Lampanyctus crocodilus</x:v>
      </x:c>
      <x:c r="E31" s="59" t="n">
        <x:v>4.1</x:v>
      </x:c>
      <x:c r="F31" s="59"/>
      <x:c r="G31" s="59" t="str">
        <x:f>IF(F31="","",F31-E31)</x:f>
      </x:c>
      <x:c r="H31" s="59" t="str">
        <x:f>IF(G31="","",ABS(G31))</x:f>
      </x:c>
      <x:c r="I31" s="60" t="str">
        <x:f>IF(G31="","",ABS(G31/E31)*100)</x:f>
      </x:c>
      <x:c r="J31" s="33" t="str">
        <x:v>Lampanyctus</x:v>
      </x:c>
      <x:c r="K31" s="33" t="str">
        <x:v>Myctophidae</x:v>
      </x:c>
      <x:c r="L31" s="33" t="str">
        <x:v>Mesopelagic forage fishes</x:v>
      </x:c>
      <x:c r="M31" s="33" t="str">
        <x:v>Teleostei</x:v>
      </x:c>
    </x:row>
    <x:row r="32">
      <x:c r="A32" s="33" t="str">
        <x:v>Genus</x:v>
      </x:c>
      <x:c r="B32" s="33" t="str">
        <x:v>Species</x:v>
      </x:c>
      <x:c r="C32" s="33" t="str">
        <x:v>Benthosema glaciale</x:v>
      </x:c>
      <x:c r="D32" s="33" t="str">
        <x:v>Benthosema glaciale</x:v>
      </x:c>
      <x:c r="E32" s="59" t="n">
        <x:v>5.9</x:v>
      </x:c>
      <x:c r="F32" s="59"/>
      <x:c r="G32" s="59" t="str">
        <x:f>IF(F32="","",F32-E32)</x:f>
      </x:c>
      <x:c r="H32" s="59" t="str">
        <x:f>IF(G32="","",ABS(G32))</x:f>
      </x:c>
      <x:c r="I32" s="60" t="str">
        <x:f>IF(G32="","",ABS(G32/E32)*100)</x:f>
      </x:c>
      <x:c r="J32" s="33" t="str">
        <x:v>Benthosema</x:v>
      </x:c>
      <x:c r="K32" s="33" t="str">
        <x:v>Myctophidae</x:v>
      </x:c>
      <x:c r="L32" s="33" t="str">
        <x:v>Mesopelagic forage fishes</x:v>
      </x:c>
      <x:c r="M32" s="33" t="str">
        <x:v>Teleostei</x:v>
      </x:c>
    </x:row>
    <x:row r="33">
      <x:c r="A33" s="33" t="str">
        <x:v>Genus</x:v>
      </x:c>
      <x:c r="B33" s="33" t="str">
        <x:v>Species</x:v>
      </x:c>
      <x:c r="C33" s="33" t="str">
        <x:v>Notoscopelus kroyeri</x:v>
      </x:c>
      <x:c r="D33" s="33" t="str">
        <x:v>Notoscopelus kroyeri</x:v>
      </x:c>
      <x:c r="E33" s="59" t="n">
        <x:v>7.9</x:v>
      </x:c>
      <x:c r="F33" s="59"/>
      <x:c r="G33" s="59" t="str">
        <x:f>IF(F33="","",F33-E33)</x:f>
      </x:c>
      <x:c r="H33" s="59" t="str">
        <x:f>IF(G33="","",ABS(G33))</x:f>
      </x:c>
      <x:c r="I33" s="60" t="str">
        <x:f>IF(G33="","",ABS(G33/E33)*100)</x:f>
      </x:c>
      <x:c r="J33" s="33" t="str">
        <x:v>Notoscopelus</x:v>
      </x:c>
      <x:c r="K33" s="33" t="str">
        <x:v>Myctophidae</x:v>
      </x:c>
      <x:c r="L33" s="33" t="str">
        <x:v>Mesopelagic forage fishes</x:v>
      </x:c>
      <x:c r="M33" s="33" t="str">
        <x:v>Teleostei</x:v>
      </x:c>
    </x:row>
    <x:row r="34">
      <x:c r="A34" s="33" t="str">
        <x:v>Genus</x:v>
      </x:c>
      <x:c r="B34" s="33" t="str">
        <x:v>Species</x:v>
      </x:c>
      <x:c r="C34" s="33" t="str">
        <x:v>Lobianchia gemellari</x:v>
      </x:c>
      <x:c r="D34" s="33" t="str">
        <x:v>Lobianchia gemellari</x:v>
      </x:c>
      <x:c r="E34" s="59" t="n">
        <x:v>8.6</x:v>
      </x:c>
      <x:c r="F34" s="59"/>
      <x:c r="G34" s="59" t="str">
        <x:f>IF(F34="","",F34-E34)</x:f>
      </x:c>
      <x:c r="H34" s="59" t="str">
        <x:f>IF(G34="","",ABS(G34))</x:f>
      </x:c>
      <x:c r="I34" s="60" t="str">
        <x:f>IF(G34="","",ABS(G34/E34)*100)</x:f>
      </x:c>
      <x:c r="J34" s="33" t="str">
        <x:v>Lobianchia</x:v>
      </x:c>
      <x:c r="K34" s="33" t="str">
        <x:v>Myctophidae</x:v>
      </x:c>
      <x:c r="L34" s="33" t="str">
        <x:v>Mesopelagic forage fishes</x:v>
      </x:c>
      <x:c r="M34" s="33" t="str">
        <x:v>Teleostei</x:v>
      </x:c>
    </x:row>
    <x:row r="35">
      <x:c r="A35" s="33" t="str">
        <x:v>Genus</x:v>
      </x:c>
      <x:c r="B35" s="33" t="str">
        <x:v>Species</x:v>
      </x:c>
      <x:c r="C35" s="33" t="str">
        <x:v>Coelorinchus coelorinchus</x:v>
      </x:c>
      <x:c r="D35" s="33" t="str">
        <x:v>Coelorinchus coelorinchus</x:v>
      </x:c>
      <x:c r="E35" s="59" t="n">
        <x:v>5.1</x:v>
      </x:c>
      <x:c r="F35" s="59"/>
      <x:c r="G35" s="59" t="str">
        <x:f>IF(F35="","",F35-E35)</x:f>
      </x:c>
      <x:c r="H35" s="59" t="str">
        <x:f>IF(G35="","",ABS(G35))</x:f>
      </x:c>
      <x:c r="I35" s="60" t="str">
        <x:f>IF(G35="","",ABS(G35/E35)*100)</x:f>
      </x:c>
      <x:c r="J35" s="33" t="str">
        <x:v>Coelorinchus</x:v>
      </x:c>
      <x:c r="K35" s="33" t="str">
        <x:v>Macrouridae</x:v>
      </x:c>
      <x:c r="L35" s="33" t="str">
        <x:v>Other demersal fishes</x:v>
      </x:c>
      <x:c r="M35" s="33" t="str">
        <x:v>Teleostei</x:v>
      </x:c>
    </x:row>
    <x:row r="36">
      <x:c r="A36" s="33" t="str">
        <x:v>Genus</x:v>
      </x:c>
      <x:c r="B36" s="33" t="str">
        <x:v>Species</x:v>
      </x:c>
      <x:c r="C36" s="33" t="str">
        <x:v>Merlangius merlangus</x:v>
      </x:c>
      <x:c r="D36" s="33" t="str">
        <x:v>Merlangius merlangus</x:v>
      </x:c>
      <x:c r="E36" s="59" t="n">
        <x:v>3.9</x:v>
      </x:c>
      <x:c r="F36" s="59"/>
      <x:c r="G36" s="59" t="str">
        <x:f>IF(F36="","",F36-E36)</x:f>
      </x:c>
      <x:c r="H36" s="59" t="str">
        <x:f>IF(G36="","",ABS(G36))</x:f>
      </x:c>
      <x:c r="I36" s="60" t="str">
        <x:f>IF(G36="","",ABS(G36/E36)*100)</x:f>
      </x:c>
      <x:c r="J36" s="33" t="str">
        <x:v>Merlangius</x:v>
      </x:c>
      <x:c r="K36" s="33" t="str">
        <x:v>Gadidae</x:v>
      </x:c>
      <x:c r="L36" s="33" t="str">
        <x:v>Other demersal fishes</x:v>
      </x:c>
      <x:c r="M36" s="33" t="str">
        <x:v>Teleostei</x:v>
      </x:c>
    </x:row>
    <x:row r="37">
      <x:c r="A37" s="33" t="str">
        <x:v>Genus</x:v>
      </x:c>
      <x:c r="B37" s="33" t="str">
        <x:v>Species</x:v>
      </x:c>
      <x:c r="C37" s="33" t="str">
        <x:v>Pollachius pollachius</x:v>
      </x:c>
      <x:c r="D37" s="33" t="str">
        <x:v>Pollachius pollachius</x:v>
      </x:c>
      <x:c r="E37" s="59" t="n">
        <x:v>4.2</x:v>
      </x:c>
      <x:c r="F37" s="59"/>
      <x:c r="G37" s="59" t="str">
        <x:f>IF(F37="","",F37-E37)</x:f>
      </x:c>
      <x:c r="H37" s="59" t="str">
        <x:f>IF(G37="","",ABS(G37))</x:f>
      </x:c>
      <x:c r="I37" s="60" t="str">
        <x:f>IF(G37="","",ABS(G37/E37)*100)</x:f>
      </x:c>
      <x:c r="J37" s="33" t="str">
        <x:v>Pollachius</x:v>
      </x:c>
      <x:c r="K37" s="33" t="str">
        <x:v>Gadidae</x:v>
      </x:c>
      <x:c r="L37" s="33" t="str">
        <x:v>Other demersal fishes</x:v>
      </x:c>
      <x:c r="M37" s="33" t="str">
        <x:v>Teleostei</x:v>
      </x:c>
    </x:row>
    <x:row r="38">
      <x:c r="A38" s="33" t="str">
        <x:v>Genus</x:v>
      </x:c>
      <x:c r="B38" s="33" t="str">
        <x:v>Species</x:v>
      </x:c>
      <x:c r="C38" s="33" t="str">
        <x:v>Micromesistius poutassou</x:v>
      </x:c>
      <x:c r="D38" s="33" t="str">
        <x:v>Micromesistius poutassou</x:v>
      </x:c>
      <x:c r="E38" s="59" t="n">
        <x:v>4.4</x:v>
      </x:c>
      <x:c r="F38" s="59"/>
      <x:c r="G38" s="59" t="str">
        <x:f>IF(F38="","",F38-E38)</x:f>
      </x:c>
      <x:c r="H38" s="59" t="str">
        <x:f>IF(G38="","",ABS(G38))</x:f>
      </x:c>
      <x:c r="I38" s="60" t="str">
        <x:f>IF(G38="","",ABS(G38/E38)*100)</x:f>
      </x:c>
      <x:c r="J38" s="33" t="str">
        <x:v>Micromesistius</x:v>
      </x:c>
      <x:c r="K38" s="33" t="str">
        <x:v>Gadidae</x:v>
      </x:c>
      <x:c r="L38" s="33" t="str">
        <x:v>Other demersal fishes</x:v>
      </x:c>
      <x:c r="M38" s="33" t="str">
        <x:v>Teleostei</x:v>
      </x:c>
    </x:row>
    <x:row r="39">
      <x:c r="A39" s="33" t="str">
        <x:v>Genus</x:v>
      </x:c>
      <x:c r="B39" s="33" t="str">
        <x:v>Species</x:v>
      </x:c>
      <x:c r="C39" s="33" t="str">
        <x:v>Trisopterus luscus</x:v>
      </x:c>
      <x:c r="D39" s="33" t="str">
        <x:v>Trisopterus luscus</x:v>
      </x:c>
      <x:c r="E39" s="59" t="n">
        <x:v>4.7</x:v>
      </x:c>
      <x:c r="F39" s="59" t="n">
        <x:v>5.1</x:v>
      </x:c>
      <x:c r="G39" s="59" t="n">
        <x:f>IF(F39="","",F39-E39)</x:f>
        <x:v>0.39999999999999947</x:v>
      </x:c>
      <x:c r="H39" s="59" t="n">
        <x:f>IF(G39="","",ABS(G39))</x:f>
        <x:v>0.39999999999999947</x:v>
      </x:c>
      <x:c r="I39" s="60" t="n">
        <x:f>IF(G39="","",ABS(G39/E39)*100)</x:f>
        <x:v>8.51063829787233</x:v>
      </x:c>
      <x:c r="J39" s="33" t="str">
        <x:v>Trisopterus</x:v>
      </x:c>
      <x:c r="K39" s="33" t="str">
        <x:v>Gadidae</x:v>
      </x:c>
      <x:c r="L39" s="33" t="str">
        <x:v>Other demersal fishes</x:v>
      </x:c>
      <x:c r="M39" s="33" t="str">
        <x:v>Teleostei</x:v>
      </x:c>
    </x:row>
    <x:row r="40">
      <x:c r="A40" s="33" t="str">
        <x:v>Genus</x:v>
      </x:c>
      <x:c r="B40" s="33" t="str">
        <x:v>Species</x:v>
      </x:c>
      <x:c r="C40" s="33" t="str">
        <x:v>Gadiculus argenteus</x:v>
      </x:c>
      <x:c r="D40" s="33" t="str">
        <x:v>Gadiculus argenteus</x:v>
      </x:c>
      <x:c r="E40" s="59" t="n">
        <x:v>5</x:v>
      </x:c>
      <x:c r="F40" s="59"/>
      <x:c r="G40" s="59" t="str">
        <x:f>IF(F40="","",F40-E40)</x:f>
      </x:c>
      <x:c r="H40" s="59" t="str">
        <x:f>IF(G40="","",ABS(G40))</x:f>
      </x:c>
      <x:c r="I40" s="60" t="str">
        <x:f>IF(G40="","",ABS(G40/E40)*100)</x:f>
      </x:c>
      <x:c r="J40" s="33" t="str">
        <x:v>Gadiculus</x:v>
      </x:c>
      <x:c r="K40" s="33" t="str">
        <x:v>Gadidae</x:v>
      </x:c>
      <x:c r="L40" s="33" t="str">
        <x:v>Other demersal fishes</x:v>
      </x:c>
      <x:c r="M40" s="33" t="str">
        <x:v>Teleostei</x:v>
      </x:c>
    </x:row>
    <x:row r="41">
      <x:c r="A41" s="33" t="str">
        <x:v>Genus</x:v>
      </x:c>
      <x:c r="B41" s="33" t="str">
        <x:v>Species</x:v>
      </x:c>
      <x:c r="C41" s="33" t="str">
        <x:v>Trisopterus minutus</x:v>
      </x:c>
      <x:c r="D41" s="33" t="str">
        <x:v>Trisopterus minutus</x:v>
      </x:c>
      <x:c r="E41" s="59" t="n">
        <x:v>5.1</x:v>
      </x:c>
      <x:c r="F41" s="59" t="n">
        <x:v>4.7</x:v>
      </x:c>
      <x:c r="G41" s="59" t="n">
        <x:f>IF(F41="","",F41-E41)</x:f>
        <x:v>-0.39999999999999947</x:v>
      </x:c>
      <x:c r="H41" s="59" t="n">
        <x:f>IF(G41="","",ABS(G41))</x:f>
        <x:v>0.39999999999999947</x:v>
      </x:c>
      <x:c r="I41" s="60" t="n">
        <x:f>IF(G41="","",ABS(G41/E41)*100)</x:f>
        <x:v>7.843137254901951</x:v>
      </x:c>
      <x:c r="J41" s="33" t="str">
        <x:v>Trisopterus</x:v>
      </x:c>
      <x:c r="K41" s="33" t="str">
        <x:v>Gadidae</x:v>
      </x:c>
      <x:c r="L41" s="33" t="str">
        <x:v>Other demersal fishes</x:v>
      </x:c>
      <x:c r="M41" s="33" t="str">
        <x:v>Teleostei</x:v>
      </x:c>
    </x:row>
    <x:row r="42">
      <x:c r="A42" s="33" t="str">
        <x:v>Genus</x:v>
      </x:c>
      <x:c r="B42" s="33" t="str">
        <x:v>Species</x:v>
      </x:c>
      <x:c r="C42" s="33" t="str">
        <x:v>Phycis blennoides</x:v>
      </x:c>
      <x:c r="D42" s="33" t="str">
        <x:v>Phycis blennoides</x:v>
      </x:c>
      <x:c r="E42" s="59" t="n">
        <x:v>5</x:v>
      </x:c>
      <x:c r="F42" s="59"/>
      <x:c r="G42" s="59" t="str">
        <x:f>IF(F42="","",F42-E42)</x:f>
      </x:c>
      <x:c r="H42" s="59" t="str">
        <x:f>IF(G42="","",ABS(G42))</x:f>
      </x:c>
      <x:c r="I42" s="60" t="str">
        <x:f>IF(G42="","",ABS(G42/E42)*100)</x:f>
      </x:c>
      <x:c r="J42" s="33" t="str">
        <x:v>Phycis</x:v>
      </x:c>
      <x:c r="K42" s="33" t="str">
        <x:v>Phycidae</x:v>
      </x:c>
      <x:c r="L42" s="33" t="str">
        <x:v>Unclassified teleosts</x:v>
      </x:c>
      <x:c r="M42" s="33" t="str">
        <x:v>Teleostei</x:v>
      </x:c>
    </x:row>
    <x:row r="43">
      <x:c r="A43" s="33" t="str">
        <x:v>Genus</x:v>
      </x:c>
      <x:c r="B43" s="33" t="str">
        <x:v>Species</x:v>
      </x:c>
      <x:c r="C43" s="33" t="str">
        <x:v>Merluccius merluccius</x:v>
      </x:c>
      <x:c r="D43" s="33" t="str">
        <x:v>Merluccius merluccius</x:v>
      </x:c>
      <x:c r="E43" s="59" t="n">
        <x:v>3.7</x:v>
      </x:c>
      <x:c r="F43" s="59" t="n">
        <x:v>4.28</x:v>
      </x:c>
      <x:c r="G43" s="59" t="n">
        <x:f>IF(F43="","",F43-E43)</x:f>
        <x:v>0.5800000000000001</x:v>
      </x:c>
      <x:c r="H43" s="59" t="n">
        <x:f>IF(G43="","",ABS(G43))</x:f>
        <x:v>0.5800000000000001</x:v>
      </x:c>
      <x:c r="I43" s="60" t="n">
        <x:f>IF(G43="","",ABS(G43/E43)*100)</x:f>
        <x:v>15.675675675675677</x:v>
      </x:c>
      <x:c r="J43" s="33" t="str">
        <x:v>Merluccius</x:v>
      </x:c>
      <x:c r="K43" s="33" t="str">
        <x:v>Merlucciidae</x:v>
      </x:c>
      <x:c r="L43" s="33" t="str">
        <x:v>Other demersal fishes</x:v>
      </x:c>
      <x:c r="M43" s="33" t="str">
        <x:v>Teleostei</x:v>
      </x:c>
    </x:row>
    <x:row r="44">
      <x:c r="A44" s="33" t="str">
        <x:v>Genus</x:v>
      </x:c>
      <x:c r="B44" s="33" t="str">
        <x:v>Species</x:v>
      </x:c>
      <x:c r="C44" s="33" t="str">
        <x:v>Atherina presbyter</x:v>
      </x:c>
      <x:c r="D44" s="33" t="str">
        <x:v>Atherina presbyter</x:v>
      </x:c>
      <x:c r="E44" s="59" t="n">
        <x:v>7.3</x:v>
      </x:c>
      <x:c r="F44" s="59"/>
      <x:c r="G44" s="59" t="str">
        <x:f>IF(F44="","",F44-E44)</x:f>
      </x:c>
      <x:c r="H44" s="59" t="str">
        <x:f>IF(G44="","",ABS(G44))</x:f>
      </x:c>
      <x:c r="I44" s="60" t="str">
        <x:f>IF(G44="","",ABS(G44/E44)*100)</x:f>
      </x:c>
      <x:c r="J44" s="33" t="str">
        <x:v>Atherina</x:v>
      </x:c>
      <x:c r="K44" s="33" t="str">
        <x:v>Atherinidae</x:v>
      </x:c>
      <x:c r="L44" s="33" t="str">
        <x:v>Small pelagic forage fishes</x:v>
      </x:c>
      <x:c r="M44" s="33" t="str">
        <x:v>Teleostei</x:v>
      </x:c>
    </x:row>
    <x:row r="45">
      <x:c r="A45" s="33" t="str">
        <x:v>Genus</x:v>
      </x:c>
      <x:c r="B45" s="33" t="str">
        <x:v>Species</x:v>
      </x:c>
      <x:c r="C45" s="33" t="str">
        <x:v>Belone belone</x:v>
      </x:c>
      <x:c r="D45" s="33" t="str">
        <x:v>Belone belone</x:v>
      </x:c>
      <x:c r="E45" s="59" t="n">
        <x:v>6.2</x:v>
      </x:c>
      <x:c r="F45" s="59"/>
      <x:c r="G45" s="59" t="str">
        <x:f>IF(F45="","",F45-E45)</x:f>
      </x:c>
      <x:c r="H45" s="59" t="str">
        <x:f>IF(G45="","",ABS(G45))</x:f>
      </x:c>
      <x:c r="I45" s="60" t="str">
        <x:f>IF(G45="","",ABS(G45/E45)*100)</x:f>
      </x:c>
      <x:c r="J45" s="33" t="str">
        <x:v>Belone</x:v>
      </x:c>
      <x:c r="K45" s="33" t="str">
        <x:v>Belonidae</x:v>
      </x:c>
      <x:c r="L45" s="33" t="str">
        <x:v>Unclassified teleosts</x:v>
      </x:c>
      <x:c r="M45" s="33" t="str">
        <x:v>Teleostei</x:v>
      </x:c>
    </x:row>
    <x:row r="46">
      <x:c r="A46" s="33" t="str">
        <x:v>Genus</x:v>
      </x:c>
      <x:c r="B46" s="33" t="str">
        <x:v>Species</x:v>
      </x:c>
      <x:c r="C46" s="33" t="str">
        <x:v>Scomberesox saurus</x:v>
      </x:c>
      <x:c r="D46" s="33" t="str">
        <x:v>Scomberesox saurus</x:v>
      </x:c>
      <x:c r="E46" s="59" t="n">
        <x:v>5.8</x:v>
      </x:c>
      <x:c r="F46" s="59"/>
      <x:c r="G46" s="59" t="str">
        <x:f>IF(F46="","",F46-E46)</x:f>
      </x:c>
      <x:c r="H46" s="59" t="str">
        <x:f>IF(G46="","",ABS(G46))</x:f>
      </x:c>
      <x:c r="I46" s="60" t="str">
        <x:f>IF(G46="","",ABS(G46/E46)*100)</x:f>
      </x:c>
      <x:c r="J46" s="33" t="str">
        <x:v>Scomberesox</x:v>
      </x:c>
      <x:c r="K46" s="33" t="str">
        <x:v>Scomberesocidae</x:v>
      </x:c>
      <x:c r="L46" s="33" t="str">
        <x:v>Unclassified teleosts</x:v>
      </x:c>
      <x:c r="M46" s="33" t="str">
        <x:v>Teleostei</x:v>
      </x:c>
    </x:row>
    <x:row r="47">
      <x:c r="A47" s="33" t="str">
        <x:v>Genus</x:v>
      </x:c>
      <x:c r="B47" s="33" t="str">
        <x:v>Species</x:v>
      </x:c>
      <x:c r="C47" s="33" t="str">
        <x:v>Hoplostethus mediterraneus</x:v>
      </x:c>
      <x:c r="D47" s="33" t="str">
        <x:v>Hoplostethus mediterraneus</x:v>
      </x:c>
      <x:c r="E47" s="59" t="n">
        <x:v>4.7</x:v>
      </x:c>
      <x:c r="F47" s="59"/>
      <x:c r="G47" s="59" t="str">
        <x:f>IF(F47="","",F47-E47)</x:f>
      </x:c>
      <x:c r="H47" s="59" t="str">
        <x:f>IF(G47="","",ABS(G47))</x:f>
      </x:c>
      <x:c r="I47" s="60" t="str">
        <x:f>IF(G47="","",ABS(G47/E47)*100)</x:f>
      </x:c>
      <x:c r="J47" s="33" t="str">
        <x:v>Hoplostethus</x:v>
      </x:c>
      <x:c r="K47" s="33" t="str">
        <x:v>Trachichthyidae</x:v>
      </x:c>
      <x:c r="L47" s="33" t="str">
        <x:v>Unclassified teleosts</x:v>
      </x:c>
      <x:c r="M47" s="33" t="str">
        <x:v>Teleostei</x:v>
      </x:c>
    </x:row>
    <x:row r="48">
      <x:c r="A48" s="33" t="str">
        <x:v>Genus</x:v>
      </x:c>
      <x:c r="B48" s="33" t="str">
        <x:v>Species</x:v>
      </x:c>
      <x:c r="C48" s="33" t="str">
        <x:v>Capros aper</x:v>
      </x:c>
      <x:c r="D48" s="33" t="str">
        <x:v>Capros aper</x:v>
      </x:c>
      <x:c r="E48" s="59" t="n">
        <x:v>6.2</x:v>
      </x:c>
      <x:c r="F48" s="59"/>
      <x:c r="G48" s="59" t="str">
        <x:f>IF(F48="","",F48-E48)</x:f>
      </x:c>
      <x:c r="H48" s="59" t="str">
        <x:f>IF(G48="","",ABS(G48))</x:f>
      </x:c>
      <x:c r="I48" s="60" t="str">
        <x:f>IF(G48="","",ABS(G48/E48)*100)</x:f>
      </x:c>
      <x:c r="J48" s="33" t="str">
        <x:v>Capros</x:v>
      </x:c>
      <x:c r="K48" s="33" t="str">
        <x:v>Caproidae</x:v>
      </x:c>
      <x:c r="L48" s="33" t="str">
        <x:v>Unclassified teleosts</x:v>
      </x:c>
      <x:c r="M48" s="33" t="str">
        <x:v>Teleostei</x:v>
      </x:c>
    </x:row>
    <x:row r="49">
      <x:c r="A49" s="33" t="str">
        <x:v>Genus</x:v>
      </x:c>
      <x:c r="B49" s="33" t="str">
        <x:v>Species</x:v>
      </x:c>
      <x:c r="C49" s="33" t="str">
        <x:v>Entelurus aequoreus</x:v>
      </x:c>
      <x:c r="D49" s="33" t="str">
        <x:v>Entelurus aequoreus</x:v>
      </x:c>
      <x:c r="E49" s="59" t="n">
        <x:v>4.7</x:v>
      </x:c>
      <x:c r="F49" s="59"/>
      <x:c r="G49" s="59" t="str">
        <x:f>IF(F49="","",F49-E49)</x:f>
      </x:c>
      <x:c r="H49" s="59" t="str">
        <x:f>IF(G49="","",ABS(G49))</x:f>
      </x:c>
      <x:c r="I49" s="60" t="str">
        <x:f>IF(G49="","",ABS(G49/E49)*100)</x:f>
      </x:c>
      <x:c r="J49" s="33" t="str">
        <x:v>Entelurus</x:v>
      </x:c>
      <x:c r="K49" s="33" t="str">
        <x:v>Syngnathidae</x:v>
      </x:c>
      <x:c r="L49" s="33" t="str">
        <x:v>Unclassified teleosts</x:v>
      </x:c>
      <x:c r="M49" s="33" t="str">
        <x:v>Teleostei</x:v>
      </x:c>
    </x:row>
    <x:row r="50">
      <x:c r="A50" s="33" t="str">
        <x:v>Genus</x:v>
      </x:c>
      <x:c r="B50" s="33" t="str">
        <x:v>Species</x:v>
      </x:c>
      <x:c r="C50" s="33" t="str">
        <x:v>Helicolenus dactylopterus</x:v>
      </x:c>
      <x:c r="D50" s="33" t="str">
        <x:v>Helicolenus dactylopterus</x:v>
      </x:c>
      <x:c r="E50" s="59" t="n">
        <x:v>9.2</x:v>
      </x:c>
      <x:c r="F50" s="59"/>
      <x:c r="G50" s="59" t="str">
        <x:f>IF(F50="","",F50-E50)</x:f>
      </x:c>
      <x:c r="H50" s="59" t="str">
        <x:f>IF(G50="","",ABS(G50))</x:f>
      </x:c>
      <x:c r="I50" s="60" t="str">
        <x:f>IF(G50="","",ABS(G50/E50)*100)</x:f>
      </x:c>
      <x:c r="J50" s="33" t="str">
        <x:v>Helicolenus</x:v>
      </x:c>
      <x:c r="K50" s="33" t="str">
        <x:v>Sebastidae</x:v>
      </x:c>
      <x:c r="L50" s="33" t="str">
        <x:v>Unclassified teleosts</x:v>
      </x:c>
      <x:c r="M50" s="33" t="str">
        <x:v>Teleostei</x:v>
      </x:c>
    </x:row>
    <x:row r="51">
      <x:c r="A51" s="33" t="str">
        <x:v>Genus</x:v>
      </x:c>
      <x:c r="B51" s="33" t="str">
        <x:v>Species</x:v>
      </x:c>
      <x:c r="C51" s="33" t="str">
        <x:v>Scorpaena loppei</x:v>
      </x:c>
      <x:c r="D51" s="33" t="str">
        <x:v>Scorpaena loppei</x:v>
      </x:c>
      <x:c r="E51" s="59" t="n">
        <x:v>5.1</x:v>
      </x:c>
      <x:c r="F51" s="59"/>
      <x:c r="G51" s="59" t="str">
        <x:f>IF(F51="","",F51-E51)</x:f>
      </x:c>
      <x:c r="H51" s="59" t="str">
        <x:f>IF(G51="","",ABS(G51))</x:f>
      </x:c>
      <x:c r="I51" s="60" t="str">
        <x:f>IF(G51="","",ABS(G51/E51)*100)</x:f>
      </x:c>
      <x:c r="J51" s="33" t="str">
        <x:v>Scorpaena</x:v>
      </x:c>
      <x:c r="K51" s="33" t="str">
        <x:v>Scorpaenidae</x:v>
      </x:c>
      <x:c r="L51" s="33" t="str">
        <x:v>Unclassified teleosts</x:v>
      </x:c>
      <x:c r="M51" s="33" t="str">
        <x:v>Teleostei</x:v>
      </x:c>
    </x:row>
    <x:row r="52">
      <x:c r="A52" s="33" t="str">
        <x:v>Genus</x:v>
      </x:c>
      <x:c r="B52" s="33" t="str">
        <x:v>Species</x:v>
      </x:c>
      <x:c r="C52" s="33" t="str">
        <x:v>Chelidonichthys cuculus</x:v>
      </x:c>
      <x:c r="D52" s="33" t="str">
        <x:v>Chelidonichthys cuculus</x:v>
      </x:c>
      <x:c r="E52" s="59" t="n">
        <x:v>8.2</x:v>
      </x:c>
      <x:c r="F52" s="59"/>
      <x:c r="G52" s="59" t="str">
        <x:f>IF(F52="","",F52-E52)</x:f>
      </x:c>
      <x:c r="H52" s="59" t="str">
        <x:f>IF(G52="","",ABS(G52))</x:f>
      </x:c>
      <x:c r="I52" s="60" t="str">
        <x:f>IF(G52="","",ABS(G52/E52)*100)</x:f>
      </x:c>
      <x:c r="J52" s="33" t="str">
        <x:v>Chelidonichthys</x:v>
      </x:c>
      <x:c r="K52" s="33" t="str">
        <x:v>Triglidae</x:v>
      </x:c>
      <x:c r="L52" s="33" t="str">
        <x:v>Unclassified teleosts</x:v>
      </x:c>
      <x:c r="M52" s="33" t="str">
        <x:v>Teleostei</x:v>
      </x:c>
    </x:row>
    <x:row r="53">
      <x:c r="A53" s="33" t="str">
        <x:v>Genus</x:v>
      </x:c>
      <x:c r="B53" s="33" t="str">
        <x:v>Species</x:v>
      </x:c>
      <x:c r="C53" s="33" t="str">
        <x:v>Dicentrarchus labrax</x:v>
      </x:c>
      <x:c r="D53" s="33" t="str">
        <x:v>Dicentrarchus labrax</x:v>
      </x:c>
      <x:c r="E53" s="59" t="n">
        <x:v>6</x:v>
      </x:c>
      <x:c r="F53" s="59"/>
      <x:c r="G53" s="59" t="str">
        <x:f>IF(F53="","",F53-E53)</x:f>
      </x:c>
      <x:c r="H53" s="59" t="str">
        <x:f>IF(G53="","",ABS(G53))</x:f>
      </x:c>
      <x:c r="I53" s="60" t="str">
        <x:f>IF(G53="","",ABS(G53/E53)*100)</x:f>
      </x:c>
      <x:c r="J53" s="33" t="str">
        <x:v>Dicentrarchus</x:v>
      </x:c>
      <x:c r="K53" s="33" t="str">
        <x:v>Moronidae</x:v>
      </x:c>
      <x:c r="L53" s="33" t="str">
        <x:v>Unclassified teleosts</x:v>
      </x:c>
      <x:c r="M53" s="33" t="str">
        <x:v>Teleostei</x:v>
      </x:c>
    </x:row>
    <x:row r="54">
      <x:c r="A54" s="33" t="str">
        <x:v>Genus</x:v>
      </x:c>
      <x:c r="B54" s="33" t="str">
        <x:v>Species</x:v>
      </x:c>
      <x:c r="C54" s="33" t="str">
        <x:v>Trachurus trachurus</x:v>
      </x:c>
      <x:c r="D54" s="33" t="str">
        <x:v>Trachurus trachurus</x:v>
      </x:c>
      <x:c r="E54" s="59" t="n">
        <x:v>6</x:v>
      </x:c>
      <x:c r="F54" s="59" t="n">
        <x:v>5.78</x:v>
      </x:c>
      <x:c r="G54" s="59" t="n">
        <x:f>IF(F54="","",F54-E54)</x:f>
        <x:v>-0.21999999999999975</x:v>
      </x:c>
      <x:c r="H54" s="59" t="n">
        <x:f>IF(G54="","",ABS(G54))</x:f>
        <x:v>0.21999999999999975</x:v>
      </x:c>
      <x:c r="I54" s="60" t="n">
        <x:f>IF(G54="","",ABS(G54/E54)*100)</x:f>
        <x:v>3.6666666666666625</x:v>
      </x:c>
      <x:c r="J54" s="33" t="str">
        <x:v>Trachurus</x:v>
      </x:c>
      <x:c r="K54" s="33" t="str">
        <x:v>Carangidae</x:v>
      </x:c>
      <x:c r="L54" s="33" t="str">
        <x:v>Unclassified teleosts</x:v>
      </x:c>
      <x:c r="M54" s="33" t="str">
        <x:v>Teleostei</x:v>
      </x:c>
    </x:row>
    <x:row r="55">
      <x:c r="A55" s="33" t="str">
        <x:v>Genus</x:v>
      </x:c>
      <x:c r="B55" s="33" t="str">
        <x:v>Species</x:v>
      </x:c>
      <x:c r="C55" s="33" t="str">
        <x:v>Spondyliosoma cantharus</x:v>
      </x:c>
      <x:c r="D55" s="33" t="str">
        <x:v>Spondyliosoma cantharus</x:v>
      </x:c>
      <x:c r="E55" s="59" t="n">
        <x:v>6.9</x:v>
      </x:c>
      <x:c r="F55" s="59"/>
      <x:c r="G55" s="59" t="str">
        <x:f>IF(F55="","",F55-E55)</x:f>
      </x:c>
      <x:c r="H55" s="59" t="str">
        <x:f>IF(G55="","",ABS(G55))</x:f>
      </x:c>
      <x:c r="I55" s="60" t="str">
        <x:f>IF(G55="","",ABS(G55/E55)*100)</x:f>
      </x:c>
      <x:c r="J55" s="33" t="str">
        <x:v>Spondyliosoma</x:v>
      </x:c>
      <x:c r="K55" s="33" t="str">
        <x:v>Sparidae</x:v>
      </x:c>
      <x:c r="L55" s="33" t="str">
        <x:v>Unclassified teleosts</x:v>
      </x:c>
      <x:c r="M55" s="33" t="str">
        <x:v>Teleostei</x:v>
      </x:c>
    </x:row>
    <x:row r="56">
      <x:c r="A56" s="33" t="str">
        <x:v>Genus</x:v>
      </x:c>
      <x:c r="B56" s="33" t="str">
        <x:v>Species</x:v>
      </x:c>
      <x:c r="C56" s="33" t="str">
        <x:v>Boops boops</x:v>
      </x:c>
      <x:c r="D56" s="33" t="str">
        <x:v>Boops boops</x:v>
      </x:c>
      <x:c r="E56" s="59" t="n">
        <x:v>8</x:v>
      </x:c>
      <x:c r="F56" s="59"/>
      <x:c r="G56" s="59" t="str">
        <x:f>IF(F56="","",F56-E56)</x:f>
      </x:c>
      <x:c r="H56" s="59" t="str">
        <x:f>IF(G56="","",ABS(G56))</x:f>
      </x:c>
      <x:c r="I56" s="60" t="str">
        <x:f>IF(G56="","",ABS(G56/E56)*100)</x:f>
      </x:c>
      <x:c r="J56" s="33" t="str">
        <x:v>Boops</x:v>
      </x:c>
      <x:c r="K56" s="33" t="str">
        <x:v>Sparidae</x:v>
      </x:c>
      <x:c r="L56" s="33" t="str">
        <x:v>Unclassified teleosts</x:v>
      </x:c>
      <x:c r="M56" s="33" t="str">
        <x:v>Teleostei</x:v>
      </x:c>
    </x:row>
    <x:row r="57">
      <x:c r="A57" s="33" t="str">
        <x:v>Genus</x:v>
      </x:c>
      <x:c r="B57" s="33" t="str">
        <x:v>Species</x:v>
      </x:c>
      <x:c r="C57" s="33" t="str">
        <x:v>Pagellus acarne</x:v>
      </x:c>
      <x:c r="D57" s="33" t="str">
        <x:v>Pagellus acarne</x:v>
      </x:c>
      <x:c r="E57" s="59" t="n">
        <x:v>9.4</x:v>
      </x:c>
      <x:c r="F57" s="59"/>
      <x:c r="G57" s="59" t="str">
        <x:f>IF(F57="","",F57-E57)</x:f>
      </x:c>
      <x:c r="H57" s="59" t="str">
        <x:f>IF(G57="","",ABS(G57))</x:f>
      </x:c>
      <x:c r="I57" s="60" t="str">
        <x:f>IF(G57="","",ABS(G57/E57)*100)</x:f>
      </x:c>
      <x:c r="J57" s="33" t="str">
        <x:v>Pagellus</x:v>
      </x:c>
      <x:c r="K57" s="33" t="str">
        <x:v>Sparidae</x:v>
      </x:c>
      <x:c r="L57" s="33" t="str">
        <x:v>Unclassified teleosts</x:v>
      </x:c>
      <x:c r="M57" s="33" t="str">
        <x:v>Teleostei</x:v>
      </x:c>
    </x:row>
    <x:row r="58">
      <x:c r="A58" s="33" t="str">
        <x:v>Genus</x:v>
      </x:c>
      <x:c r="B58" s="33" t="str">
        <x:v>Species</x:v>
      </x:c>
      <x:c r="C58" s="33" t="str">
        <x:v>Mullus surmuletus</x:v>
      </x:c>
      <x:c r="D58" s="33" t="str">
        <x:v>Mullus surmuletus</x:v>
      </x:c>
      <x:c r="E58" s="59" t="n">
        <x:v>6.4</x:v>
      </x:c>
      <x:c r="F58" s="59"/>
      <x:c r="G58" s="59" t="str">
        <x:f>IF(F58="","",F58-E58)</x:f>
      </x:c>
      <x:c r="H58" s="59" t="str">
        <x:f>IF(G58="","",ABS(G58))</x:f>
      </x:c>
      <x:c r="I58" s="60" t="str">
        <x:f>IF(G58="","",ABS(G58/E58)*100)</x:f>
      </x:c>
      <x:c r="J58" s="33" t="str">
        <x:v>Mullus</x:v>
      </x:c>
      <x:c r="K58" s="33" t="str">
        <x:v>Mullidae</x:v>
      </x:c>
      <x:c r="L58" s="33" t="str">
        <x:v>Unclassified teleosts</x:v>
      </x:c>
      <x:c r="M58" s="33" t="str">
        <x:v>Teleostei</x:v>
      </x:c>
    </x:row>
    <x:row r="59">
      <x:c r="A59" s="33" t="str">
        <x:v>Genus</x:v>
      </x:c>
      <x:c r="B59" s="33" t="str">
        <x:v>Species</x:v>
      </x:c>
      <x:c r="C59" s="33" t="str">
        <x:v>Cepola macrophthalma</x:v>
      </x:c>
      <x:c r="D59" s="33" t="str">
        <x:v>Cepola macrophthalma</x:v>
      </x:c>
      <x:c r="E59" s="59" t="n">
        <x:v>3.9</x:v>
      </x:c>
      <x:c r="F59" s="59"/>
      <x:c r="G59" s="59" t="str">
        <x:f>IF(F59="","",F59-E59)</x:f>
      </x:c>
      <x:c r="H59" s="59" t="str">
        <x:f>IF(G59="","",ABS(G59))</x:f>
      </x:c>
      <x:c r="I59" s="60" t="str">
        <x:f>IF(G59="","",ABS(G59/E59)*100)</x:f>
      </x:c>
      <x:c r="J59" s="33" t="str">
        <x:v>Cepola</x:v>
      </x:c>
      <x:c r="K59" s="33" t="str">
        <x:v>Cepolidae</x:v>
      </x:c>
      <x:c r="L59" s="33" t="str">
        <x:v>Unclassified teleosts</x:v>
      </x:c>
      <x:c r="M59" s="33" t="str">
        <x:v>Teleostei</x:v>
      </x:c>
    </x:row>
    <x:row r="60">
      <x:c r="A60" s="33" t="str">
        <x:v>Genus</x:v>
      </x:c>
      <x:c r="B60" s="33" t="str">
        <x:v>Species</x:v>
      </x:c>
      <x:c r="C60" s="33" t="str">
        <x:v>Liza ramada</x:v>
      </x:c>
      <x:c r="D60" s="33" t="str">
        <x:v>Liza ramada</x:v>
      </x:c>
      <x:c r="E60" s="59" t="n">
        <x:v>6.5</x:v>
      </x:c>
      <x:c r="F60" s="59" t="n">
        <x:v>5.39</x:v>
      </x:c>
      <x:c r="G60" s="59" t="n">
        <x:f>IF(F60="","",F60-E60)</x:f>
        <x:v>-1.1100000000000003</x:v>
      </x:c>
      <x:c r="H60" s="59" t="n">
        <x:f>IF(G60="","",ABS(G60))</x:f>
        <x:v>1.1100000000000003</x:v>
      </x:c>
      <x:c r="I60" s="60" t="n">
        <x:f>IF(G60="","",ABS(G60/E60)*100)</x:f>
        <x:v>17.07692307692308</x:v>
      </x:c>
      <x:c r="J60" s="33" t="str">
        <x:v>Liza</x:v>
      </x:c>
      <x:c r="K60" s="33" t="str">
        <x:v>Mugilidae</x:v>
      </x:c>
      <x:c r="L60" s="33" t="str">
        <x:v>Unclassified teleosts</x:v>
      </x:c>
      <x:c r="M60" s="33" t="str">
        <x:v>Teleostei</x:v>
      </x:c>
    </x:row>
    <x:row r="61">
      <x:c r="A61" s="33" t="str">
        <x:v>Genus</x:v>
      </x:c>
      <x:c r="B61" s="33" t="str">
        <x:v>Species</x:v>
      </x:c>
      <x:c r="C61" s="33" t="str">
        <x:v>Labrus bergylta</x:v>
      </x:c>
      <x:c r="D61" s="33" t="str">
        <x:v>Labrus bergylta</x:v>
      </x:c>
      <x:c r="E61" s="59" t="n">
        <x:v>5.4</x:v>
      </x:c>
      <x:c r="F61" s="59"/>
      <x:c r="G61" s="59" t="str">
        <x:f>IF(F61="","",F61-E61)</x:f>
      </x:c>
      <x:c r="H61" s="59" t="str">
        <x:f>IF(G61="","",ABS(G61))</x:f>
      </x:c>
      <x:c r="I61" s="60" t="str">
        <x:f>IF(G61="","",ABS(G61/E61)*100)</x:f>
      </x:c>
      <x:c r="J61" s="33" t="str">
        <x:v>Labrus</x:v>
      </x:c>
      <x:c r="K61" s="33" t="str">
        <x:v>Labridae</x:v>
      </x:c>
      <x:c r="L61" s="33" t="str">
        <x:v>Unclassified teleosts</x:v>
      </x:c>
      <x:c r="M61" s="33" t="str">
        <x:v>Teleostei</x:v>
      </x:c>
    </x:row>
    <x:row r="62">
      <x:c r="A62" s="33" t="str">
        <x:v>Genus</x:v>
      </x:c>
      <x:c r="B62" s="33" t="str">
        <x:v>Species</x:v>
      </x:c>
      <x:c r="C62" s="33" t="str">
        <x:v>Hyperoplus lanceolatus</x:v>
      </x:c>
      <x:c r="D62" s="33" t="str">
        <x:v>Hyperoplus lanceolatus</x:v>
      </x:c>
      <x:c r="E62" s="59" t="n">
        <x:v>4.8</x:v>
      </x:c>
      <x:c r="F62" s="59"/>
      <x:c r="G62" s="59" t="str">
        <x:f>IF(F62="","",F62-E62)</x:f>
      </x:c>
      <x:c r="H62" s="59" t="str">
        <x:f>IF(G62="","",ABS(G62))</x:f>
      </x:c>
      <x:c r="I62" s="60" t="str">
        <x:f>IF(G62="","",ABS(G62/E62)*100)</x:f>
      </x:c>
      <x:c r="J62" s="33" t="str">
        <x:v>Hyperoplus</x:v>
      </x:c>
      <x:c r="K62" s="33" t="str">
        <x:v>Ammodytidae</x:v>
      </x:c>
      <x:c r="L62" s="33" t="str">
        <x:v>Small pelagic forage fishes</x:v>
      </x:c>
      <x:c r="M62" s="33" t="str">
        <x:v>Teleostei</x:v>
      </x:c>
    </x:row>
    <x:row r="63">
      <x:c r="A63" s="33" t="str">
        <x:v>Genus</x:v>
      </x:c>
      <x:c r="B63" s="33" t="str">
        <x:v>Species</x:v>
      </x:c>
      <x:c r="C63" s="33" t="str">
        <x:v>Ammodytes tobianus</x:v>
      </x:c>
      <x:c r="D63" s="33" t="str">
        <x:v>Ammodytes tobianus</x:v>
      </x:c>
      <x:c r="E63" s="59" t="n">
        <x:v>5.8</x:v>
      </x:c>
      <x:c r="F63" s="59" t="n">
        <x:v>5.475</x:v>
      </x:c>
      <x:c r="G63" s="59" t="n">
        <x:f>IF(F63="","",F63-E63)</x:f>
        <x:v>-0.3250000000000002</x:v>
      </x:c>
      <x:c r="H63" s="59" t="n">
        <x:f>IF(G63="","",ABS(G63))</x:f>
        <x:v>0.3250000000000002</x:v>
      </x:c>
      <x:c r="I63" s="60" t="n">
        <x:f>IF(G63="","",ABS(G63/E63)*100)</x:f>
        <x:v>5.603448275862073</x:v>
      </x:c>
      <x:c r="J63" s="33" t="str">
        <x:v>Ammodytes</x:v>
      </x:c>
      <x:c r="K63" s="33" t="str">
        <x:v>Ammodytidae</x:v>
      </x:c>
      <x:c r="L63" s="33" t="str">
        <x:v>Small pelagic forage fishes</x:v>
      </x:c>
      <x:c r="M63" s="33" t="str">
        <x:v>Teleostei</x:v>
      </x:c>
    </x:row>
    <x:row r="64">
      <x:c r="A64" s="33" t="str">
        <x:v>Genus</x:v>
      </x:c>
      <x:c r="B64" s="33" t="str">
        <x:v>Species</x:v>
      </x:c>
      <x:c r="C64" s="33" t="str">
        <x:v>Trachinus draco</x:v>
      </x:c>
      <x:c r="D64" s="33" t="str">
        <x:v>Trachinus draco</x:v>
      </x:c>
      <x:c r="E64" s="59" t="n">
        <x:v>5.3</x:v>
      </x:c>
      <x:c r="F64" s="59"/>
      <x:c r="G64" s="59" t="str">
        <x:f>IF(F64="","",F64-E64)</x:f>
      </x:c>
      <x:c r="H64" s="59" t="str">
        <x:f>IF(G64="","",ABS(G64))</x:f>
      </x:c>
      <x:c r="I64" s="60" t="str">
        <x:f>IF(G64="","",ABS(G64/E64)*100)</x:f>
      </x:c>
      <x:c r="J64" s="33" t="str">
        <x:v>Trachinus</x:v>
      </x:c>
      <x:c r="K64" s="33" t="str">
        <x:v>Trachinidae</x:v>
      </x:c>
      <x:c r="L64" s="33" t="str">
        <x:v>Unclassified teleosts</x:v>
      </x:c>
      <x:c r="M64" s="33" t="str">
        <x:v>Teleostei</x:v>
      </x:c>
    </x:row>
    <x:row r="65">
      <x:c r="A65" s="33" t="str">
        <x:v>Genus</x:v>
      </x:c>
      <x:c r="B65" s="33" t="str">
        <x:v>Species</x:v>
      </x:c>
      <x:c r="C65" s="33" t="str">
        <x:v>Paralipophrys trigloides</x:v>
      </x:c>
      <x:c r="D65" s="33" t="str">
        <x:v>Paralipophrys trigloides</x:v>
      </x:c>
      <x:c r="E65" s="59" t="n">
        <x:v>5.5</x:v>
      </x:c>
      <x:c r="F65" s="59"/>
      <x:c r="G65" s="59" t="str">
        <x:f>IF(F65="","",F65-E65)</x:f>
      </x:c>
      <x:c r="H65" s="59" t="str">
        <x:f>IF(G65="","",ABS(G65))</x:f>
      </x:c>
      <x:c r="I65" s="60" t="str">
        <x:f>IF(G65="","",ABS(G65/E65)*100)</x:f>
      </x:c>
      <x:c r="J65" s="33" t="str">
        <x:v>Paralipophrys</x:v>
      </x:c>
      <x:c r="K65" s="33" t="str">
        <x:v>Blenniidae</x:v>
      </x:c>
      <x:c r="L65" s="33" t="str">
        <x:v>Unclassified teleosts</x:v>
      </x:c>
      <x:c r="M65" s="33" t="str">
        <x:v>Teleostei</x:v>
      </x:c>
    </x:row>
    <x:row r="66">
      <x:c r="A66" s="33" t="str">
        <x:v>Genus</x:v>
      </x:c>
      <x:c r="B66" s="33" t="str">
        <x:v>Species</x:v>
      </x:c>
      <x:c r="C66" s="33" t="str">
        <x:v>Callionymus lyra</x:v>
      </x:c>
      <x:c r="D66" s="33" t="str">
        <x:v>Callionymus lyra</x:v>
      </x:c>
      <x:c r="E66" s="59" t="n">
        <x:v>5.2</x:v>
      </x:c>
      <x:c r="F66" s="59"/>
      <x:c r="G66" s="59" t="str">
        <x:f>IF(F66="","",F66-E66)</x:f>
      </x:c>
      <x:c r="H66" s="59" t="str">
        <x:f>IF(G66="","",ABS(G66))</x:f>
      </x:c>
      <x:c r="I66" s="60" t="str">
        <x:f>IF(G66="","",ABS(G66/E66)*100)</x:f>
      </x:c>
      <x:c r="J66" s="33" t="str">
        <x:v>Callionymus</x:v>
      </x:c>
      <x:c r="K66" s="33" t="str">
        <x:v>Callionymidae</x:v>
      </x:c>
      <x:c r="L66" s="33" t="str">
        <x:v>Unclassified teleosts</x:v>
      </x:c>
      <x:c r="M66" s="33" t="str">
        <x:v>Teleostei</x:v>
      </x:c>
    </x:row>
    <x:row r="67">
      <x:c r="A67" s="33" t="str">
        <x:v>Genus</x:v>
      </x:c>
      <x:c r="B67" s="33" t="str">
        <x:v>Species</x:v>
      </x:c>
      <x:c r="C67" s="33" t="str">
        <x:v>Lesueurigobius friesii</x:v>
      </x:c>
      <x:c r="D67" s="33" t="str">
        <x:v>Lesueurigobius friesii</x:v>
      </x:c>
      <x:c r="E67" s="59" t="n">
        <x:v>5.6</x:v>
      </x:c>
      <x:c r="F67" s="59"/>
      <x:c r="G67" s="59" t="str">
        <x:f>IF(F67="","",F67-E67)</x:f>
      </x:c>
      <x:c r="H67" s="59" t="str">
        <x:f>IF(G67="","",ABS(G67))</x:f>
      </x:c>
      <x:c r="I67" s="60" t="str">
        <x:f>IF(G67="","",ABS(G67/E67)*100)</x:f>
      </x:c>
      <x:c r="J67" s="33" t="str">
        <x:v>Lesueurigobius</x:v>
      </x:c>
      <x:c r="K67" s="33" t="str">
        <x:v>Gobiidae</x:v>
      </x:c>
      <x:c r="L67" s="33" t="str">
        <x:v>Unclassified teleosts</x:v>
      </x:c>
      <x:c r="M67" s="33" t="str">
        <x:v>Teleostei</x:v>
      </x:c>
    </x:row>
    <x:row r="68">
      <x:c r="A68" s="33" t="str">
        <x:v>Genus</x:v>
      </x:c>
      <x:c r="B68" s="33" t="str">
        <x:v>Species</x:v>
      </x:c>
      <x:c r="C68" s="33" t="str">
        <x:v>Scomber scombrus</x:v>
      </x:c>
      <x:c r="D68" s="33" t="str">
        <x:v>Scomber scombrus</x:v>
      </x:c>
      <x:c r="E68" s="59" t="n">
        <x:v>6.815</x:v>
      </x:c>
      <x:c r="F68" s="59" t="n">
        <x:v>5.43</x:v>
      </x:c>
      <x:c r="G68" s="59" t="n">
        <x:f>IF(F68="","",F68-E68)</x:f>
        <x:v>-1.3850000000000007</x:v>
      </x:c>
      <x:c r="H68" s="59" t="n">
        <x:f>IF(G68="","",ABS(G68))</x:f>
        <x:v>1.3850000000000007</x:v>
      </x:c>
      <x:c r="I68" s="60" t="n">
        <x:f>IF(G68="","",ABS(G68/E68)*100)</x:f>
        <x:v>20.322817314746892</x:v>
      </x:c>
      <x:c r="J68" s="33" t="str">
        <x:v>Scomber</x:v>
      </x:c>
      <x:c r="K68" s="33" t="str">
        <x:v>Scombridae</x:v>
      </x:c>
      <x:c r="L68" s="33" t="str">
        <x:v>Small pelagic forage fishes</x:v>
      </x:c>
      <x:c r="M68" s="33" t="str">
        <x:v>Teleostei</x:v>
      </x:c>
    </x:row>
    <x:row r="69">
      <x:c r="A69" s="33" t="str">
        <x:v>Genus</x:v>
      </x:c>
      <x:c r="B69" s="33" t="str">
        <x:v>Species</x:v>
      </x:c>
      <x:c r="C69" s="33" t="str">
        <x:v>Lepidorhombus whiffiagonis</x:v>
      </x:c>
      <x:c r="D69" s="33" t="str">
        <x:v>Lepidorhombus whiffiagonis</x:v>
      </x:c>
      <x:c r="E69" s="59" t="n">
        <x:v>6.1</x:v>
      </x:c>
      <x:c r="F69" s="59"/>
      <x:c r="G69" s="59" t="str">
        <x:f>IF(F69="","",F69-E69)</x:f>
      </x:c>
      <x:c r="H69" s="59" t="str">
        <x:f>IF(G69="","",ABS(G69))</x:f>
      </x:c>
      <x:c r="I69" s="60" t="str">
        <x:f>IF(G69="","",ABS(G69/E69)*100)</x:f>
      </x:c>
      <x:c r="J69" s="33" t="str">
        <x:v>Lepidorhombus</x:v>
      </x:c>
      <x:c r="K69" s="33" t="str">
        <x:v>Scophthalmidae</x:v>
      </x:c>
      <x:c r="L69" s="33" t="str">
        <x:v>Demersal flatfishes</x:v>
      </x:c>
      <x:c r="M69" s="33" t="str">
        <x:v>Teleostei</x:v>
      </x:c>
    </x:row>
    <x:row r="70">
      <x:c r="A70" s="33" t="str">
        <x:v>Genus</x:v>
      </x:c>
      <x:c r="B70" s="33" t="str">
        <x:v>Species</x:v>
      </x:c>
      <x:c r="C70" s="33" t="str">
        <x:v>Arnoglossus imperialis</x:v>
      </x:c>
      <x:c r="D70" s="33" t="str">
        <x:v>Arnoglossus imperialis</x:v>
      </x:c>
      <x:c r="E70" s="59" t="n">
        <x:v>5.4</x:v>
      </x:c>
      <x:c r="F70" s="59"/>
      <x:c r="G70" s="59" t="str">
        <x:f>IF(F70="","",F70-E70)</x:f>
      </x:c>
      <x:c r="H70" s="59" t="str">
        <x:f>IF(G70="","",ABS(G70))</x:f>
      </x:c>
      <x:c r="I70" s="60" t="str">
        <x:f>IF(G70="","",ABS(G70/E70)*100)</x:f>
      </x:c>
      <x:c r="J70" s="33" t="str">
        <x:v>Arnoglossus</x:v>
      </x:c>
      <x:c r="K70" s="33" t="str">
        <x:v>Bothidae</x:v>
      </x:c>
      <x:c r="L70" s="33" t="str">
        <x:v>Demersal flatfishes</x:v>
      </x:c>
      <x:c r="M70" s="33" t="str">
        <x:v>Teleostei</x:v>
      </x:c>
    </x:row>
    <x:row r="71">
      <x:c r="A71" s="33" t="str">
        <x:v>Genus</x:v>
      </x:c>
      <x:c r="B71" s="33" t="str">
        <x:v>Species</x:v>
      </x:c>
      <x:c r="C71" s="33" t="str">
        <x:v>Glyptocephalus cynoglossus</x:v>
      </x:c>
      <x:c r="D71" s="33" t="str">
        <x:v>Glyptocephalus cynoglossus</x:v>
      </x:c>
      <x:c r="E71" s="59" t="n">
        <x:v>5.6</x:v>
      </x:c>
      <x:c r="F71" s="59"/>
      <x:c r="G71" s="59" t="str">
        <x:f>IF(F71="","",F71-E71)</x:f>
      </x:c>
      <x:c r="H71" s="59" t="str">
        <x:f>IF(G71="","",ABS(G71))</x:f>
      </x:c>
      <x:c r="I71" s="60" t="str">
        <x:f>IF(G71="","",ABS(G71/E71)*100)</x:f>
      </x:c>
      <x:c r="J71" s="33" t="str">
        <x:v>Glyptocephalus</x:v>
      </x:c>
      <x:c r="K71" s="33" t="str">
        <x:v>Pleuronectidae</x:v>
      </x:c>
      <x:c r="L71" s="33" t="str">
        <x:v>Demersal flatfishes</x:v>
      </x:c>
      <x:c r="M71" s="33" t="str">
        <x:v>Teleostei</x:v>
      </x:c>
    </x:row>
    <x:row r="72">
      <x:c r="A72" s="33" t="str">
        <x:v>Genus</x:v>
      </x:c>
      <x:c r="B72" s="33" t="str">
        <x:v>Species</x:v>
      </x:c>
      <x:c r="C72" s="33" t="str">
        <x:v>Microstomus kitt</x:v>
      </x:c>
      <x:c r="D72" s="33" t="str">
        <x:v>Microstomus kitt</x:v>
      </x:c>
      <x:c r="E72" s="59" t="n">
        <x:v>5.8</x:v>
      </x:c>
      <x:c r="F72" s="59"/>
      <x:c r="G72" s="59" t="str">
        <x:f>IF(F72="","",F72-E72)</x:f>
      </x:c>
      <x:c r="H72" s="59" t="str">
        <x:f>IF(G72="","",ABS(G72))</x:f>
      </x:c>
      <x:c r="I72" s="60" t="str">
        <x:f>IF(G72="","",ABS(G72/E72)*100)</x:f>
      </x:c>
      <x:c r="J72" s="33" t="str">
        <x:v>Microstomus</x:v>
      </x:c>
      <x:c r="K72" s="33" t="str">
        <x:v>Pleuronectidae</x:v>
      </x:c>
      <x:c r="L72" s="33" t="str">
        <x:v>Demersal flatfishes</x:v>
      </x:c>
      <x:c r="M72" s="33" t="str">
        <x:v>Teleostei</x:v>
      </x:c>
    </x:row>
    <x:row r="73">
      <x:c r="A73" s="33" t="str">
        <x:v>Genus</x:v>
      </x:c>
      <x:c r="B73" s="33" t="str">
        <x:v>Species</x:v>
      </x:c>
      <x:c r="C73" s="33" t="str">
        <x:v>Pleuronectes platessa</x:v>
      </x:c>
      <x:c r="D73" s="33" t="str">
        <x:v>Pleuronectes platessa</x:v>
      </x:c>
      <x:c r="E73" s="59" t="n">
        <x:v>5.8</x:v>
      </x:c>
      <x:c r="F73" s="59"/>
      <x:c r="G73" s="59" t="str">
        <x:f>IF(F73="","",F73-E73)</x:f>
      </x:c>
      <x:c r="H73" s="59" t="str">
        <x:f>IF(G73="","",ABS(G73))</x:f>
      </x:c>
      <x:c r="I73" s="60" t="str">
        <x:f>IF(G73="","",ABS(G73/E73)*100)</x:f>
      </x:c>
      <x:c r="J73" s="33" t="str">
        <x:v>Pleuronectes</x:v>
      </x:c>
      <x:c r="K73" s="33" t="str">
        <x:v>Pleuronectidae</x:v>
      </x:c>
      <x:c r="L73" s="33" t="str">
        <x:v>Demersal flatfishes</x:v>
      </x:c>
      <x:c r="M73" s="33" t="str">
        <x:v>Teleostei</x:v>
      </x:c>
    </x:row>
    <x:row r="74">
      <x:c r="A74" s="33" t="str">
        <x:v>Genus</x:v>
      </x:c>
      <x:c r="B74" s="33" t="str">
        <x:v>Species</x:v>
      </x:c>
      <x:c r="C74" s="33" t="str">
        <x:v>Solea solea</x:v>
      </x:c>
      <x:c r="D74" s="33" t="str">
        <x:v>Solea solea</x:v>
      </x:c>
      <x:c r="E74" s="59" t="n">
        <x:v>5</x:v>
      </x:c>
      <x:c r="F74" s="59"/>
      <x:c r="G74" s="59" t="str">
        <x:f>IF(F74="","",F74-E74)</x:f>
      </x:c>
      <x:c r="H74" s="59" t="str">
        <x:f>IF(G74="","",ABS(G74))</x:f>
      </x:c>
      <x:c r="I74" s="60" t="str">
        <x:f>IF(G74="","",ABS(G74/E74)*100)</x:f>
      </x:c>
      <x:c r="J74" s="33" t="str">
        <x:v>Solea</x:v>
      </x:c>
      <x:c r="K74" s="33" t="str">
        <x:v>Soleidae</x:v>
      </x:c>
      <x:c r="L74" s="33" t="str">
        <x:v>Demersal flatfishes</x:v>
      </x:c>
      <x:c r="M74" s="33" t="str">
        <x:v>Teleostei</x:v>
      </x:c>
    </x:row>
    <x:row r="75">
      <x:c r="A75" s="33" t="str">
        <x:v>Genus</x:v>
      </x:c>
      <x:c r="B75" s="33" t="str">
        <x:v>Species</x:v>
      </x:c>
      <x:c r="C75" s="33" t="str">
        <x:v>Dicologlossa cuneata</x:v>
      </x:c>
      <x:c r="D75" s="33" t="str">
        <x:v>Dicologlossa cuneata</x:v>
      </x:c>
      <x:c r="E75" s="59" t="n">
        <x:v>6.5</x:v>
      </x:c>
      <x:c r="F75" s="59"/>
      <x:c r="G75" s="59" t="str">
        <x:f>IF(F75="","",F75-E75)</x:f>
      </x:c>
      <x:c r="H75" s="59" t="str">
        <x:f>IF(G75="","",ABS(G75))</x:f>
      </x:c>
      <x:c r="I75" s="60" t="str">
        <x:f>IF(G75="","",ABS(G75/E75)*100)</x:f>
      </x:c>
      <x:c r="J75" s="33" t="str">
        <x:v>Dicologlossa</x:v>
      </x:c>
      <x:c r="K75" s="33" t="str">
        <x:v>Soleidae</x:v>
      </x:c>
      <x:c r="L75" s="33" t="str">
        <x:v>Demersal flatfishes</x:v>
      </x:c>
      <x:c r="M75" s="33" t="str">
        <x:v>Teleostei</x:v>
      </x:c>
    </x:row>
    <x:row r="76">
      <x:c r="A76" s="33" t="str">
        <x:v>Genus</x:v>
      </x:c>
      <x:c r="B76" s="33" t="str">
        <x:v>Species</x:v>
      </x:c>
      <x:c r="C76" s="33" t="str">
        <x:v>Aglaophamus australiensis</x:v>
      </x:c>
      <x:c r="D76" s="33" t="str">
        <x:v>Aglaophamus australiensis</x:v>
      </x:c>
      <x:c r="E76" s="59" t="n">
        <x:v>1.06</x:v>
      </x:c>
      <x:c r="F76" s="59"/>
      <x:c r="G76" s="59" t="str">
        <x:f>IF(F76="","",F76-E76)</x:f>
      </x:c>
      <x:c r="H76" s="59" t="str">
        <x:f>IF(G76="","",ABS(G76))</x:f>
      </x:c>
      <x:c r="I76" s="60" t="str">
        <x:f>IF(G76="","",ABS(G76/E76)*100)</x:f>
      </x:c>
      <x:c r="J76" s="33" t="str">
        <x:v>Aglaophamus</x:v>
      </x:c>
      <x:c r="K76" s="33" t="str">
        <x:v>Nephtyidae</x:v>
      </x:c>
      <x:c r="L76" s="33" t="str">
        <x:v>Other benthic polychaetes</x:v>
      </x:c>
      <x:c r="M76" s="33" t="str">
        <x:v>Annelida</x:v>
      </x:c>
    </x:row>
    <x:row r="77">
      <x:c r="A77" s="33" t="str">
        <x:v>Genus</x:v>
      </x:c>
      <x:c r="B77" s="33" t="str">
        <x:v>Species</x:v>
      </x:c>
      <x:c r="C77" s="33" t="str">
        <x:v>Australonereis ehlersi</x:v>
      </x:c>
      <x:c r="D77" s="33" t="str">
        <x:v>Australonereis ehlersi</x:v>
      </x:c>
      <x:c r="E77" s="59" t="n">
        <x:v>1.28</x:v>
      </x:c>
      <x:c r="F77" s="59"/>
      <x:c r="G77" s="59" t="str">
        <x:f>IF(F77="","",F77-E77)</x:f>
      </x:c>
      <x:c r="H77" s="59" t="str">
        <x:f>IF(G77="","",ABS(G77))</x:f>
      </x:c>
      <x:c r="I77" s="60" t="str">
        <x:f>IF(G77="","",ABS(G77/E77)*100)</x:f>
      </x:c>
      <x:c r="J77" s="33" t="str">
        <x:v>Australonereis</x:v>
      </x:c>
      <x:c r="K77" s="33" t="str">
        <x:v>Nereididae</x:v>
      </x:c>
      <x:c r="L77" s="33" t="str">
        <x:v>Other benthic polychaetes</x:v>
      </x:c>
      <x:c r="M77" s="33" t="str">
        <x:v>Annelida</x:v>
      </x:c>
    </x:row>
    <x:row r="78">
      <x:c r="A78" s="33" t="str">
        <x:v>Genus</x:v>
      </x:c>
      <x:c r="B78" s="33" t="str">
        <x:v>Species</x:v>
      </x:c>
      <x:c r="C78" s="33" t="str">
        <x:v>Phyllodoce novaehollandiae</x:v>
      </x:c>
      <x:c r="D78" s="33" t="str">
        <x:v>Phyllodoce novaehollandiae</x:v>
      </x:c>
      <x:c r="E78" s="59" t="n">
        <x:v>0.96</x:v>
      </x:c>
      <x:c r="F78" s="59"/>
      <x:c r="G78" s="59" t="str">
        <x:f>IF(F78="","",F78-E78)</x:f>
      </x:c>
      <x:c r="H78" s="59" t="str">
        <x:f>IF(G78="","",ABS(G78))</x:f>
      </x:c>
      <x:c r="I78" s="60" t="str">
        <x:f>IF(G78="","",ABS(G78/E78)*100)</x:f>
      </x:c>
      <x:c r="J78" s="33" t="str">
        <x:v>Phyllodoce</x:v>
      </x:c>
      <x:c r="K78" s="33" t="str">
        <x:v>Phyllodocidae</x:v>
      </x:c>
      <x:c r="L78" s="33" t="str">
        <x:v>Other benthic polychaetes</x:v>
      </x:c>
      <x:c r="M78" s="33" t="str">
        <x:v>Annelida</x:v>
      </x:c>
    </x:row>
    <x:row r="79">
      <x:c r="A79" s="33" t="str">
        <x:v>Genus</x:v>
      </x:c>
      <x:c r="B79" s="33" t="str">
        <x:v>Species</x:v>
      </x:c>
      <x:c r="C79" s="33" t="str">
        <x:v>Simplisetia aequisetis</x:v>
      </x:c>
      <x:c r="D79" s="33" t="str">
        <x:v>Simplisetia aequisetis</x:v>
      </x:c>
      <x:c r="E79" s="59" t="n">
        <x:v>1.05</x:v>
      </x:c>
      <x:c r="F79" s="59"/>
      <x:c r="G79" s="59" t="str">
        <x:f>IF(F79="","",F79-E79)</x:f>
      </x:c>
      <x:c r="H79" s="59" t="str">
        <x:f>IF(G79="","",ABS(G79))</x:f>
      </x:c>
      <x:c r="I79" s="60" t="str">
        <x:f>IF(G79="","",ABS(G79/E79)*100)</x:f>
      </x:c>
      <x:c r="J79" s="33" t="str">
        <x:v>Simplisetia</x:v>
      </x:c>
      <x:c r="K79" s="33" t="str">
        <x:v>Nereididae</x:v>
      </x:c>
      <x:c r="L79" s="33" t="str">
        <x:v>Other benthic polychaetes</x:v>
      </x:c>
      <x:c r="M79" s="33" t="str">
        <x:v>Annelida</x:v>
      </x:c>
    </x:row>
    <x:row r="80">
      <x:c r="A80" s="33" t="str">
        <x:v>Genus</x:v>
      </x:c>
      <x:c r="B80" s="33" t="str">
        <x:v>Species</x:v>
      </x:c>
      <x:c r="C80" s="33" t="str">
        <x:v>Ficopomatus enigmaticus</x:v>
      </x:c>
      <x:c r="D80" s="33" t="str">
        <x:v>Ficopomatus enigmaticus</x:v>
      </x:c>
      <x:c r="E80" s="59" t="n">
        <x:v>1.45</x:v>
      </x:c>
      <x:c r="F80" s="59"/>
      <x:c r="G80" s="59" t="str">
        <x:f>IF(F80="","",F80-E80)</x:f>
      </x:c>
      <x:c r="H80" s="59" t="str">
        <x:f>IF(G80="","",ABS(G80))</x:f>
      </x:c>
      <x:c r="I80" s="60" t="str">
        <x:f>IF(G80="","",ABS(G80/E80)*100)</x:f>
      </x:c>
      <x:c r="J80" s="33" t="str">
        <x:v>Ficopomatus</x:v>
      </x:c>
      <x:c r="K80" s="33" t="str">
        <x:v>Serpulidae</x:v>
      </x:c>
      <x:c r="L80" s="33" t="str">
        <x:v>Tube-dwelling polychaetes</x:v>
      </x:c>
      <x:c r="M80" s="33" t="str">
        <x:v>Annelida</x:v>
      </x:c>
    </x:row>
    <x:row r="81">
      <x:c r="A81" s="33" t="str">
        <x:v>Genus</x:v>
      </x:c>
      <x:c r="B81" s="33" t="str">
        <x:v>Species</x:v>
      </x:c>
      <x:c r="C81" s="33" t="str">
        <x:v>Hiatula alba</x:v>
      </x:c>
      <x:c r="D81" s="33" t="str">
        <x:v>Hiatula alba</x:v>
      </x:c>
      <x:c r="E81" s="59" t="n">
        <x:v>1.76</x:v>
      </x:c>
      <x:c r="F81" s="59"/>
      <x:c r="G81" s="59" t="str">
        <x:f>IF(F81="","",F81-E81)</x:f>
      </x:c>
      <x:c r="H81" s="59" t="str">
        <x:f>IF(G81="","",ABS(G81))</x:f>
      </x:c>
      <x:c r="I81" s="60" t="str">
        <x:f>IF(G81="","",ABS(G81/E81)*100)</x:f>
      </x:c>
      <x:c r="J81" s="33" t="str">
        <x:v>Hiatula</x:v>
      </x:c>
      <x:c r="K81" s="33"/>
      <x:c r="L81" s="33" t="str">
        <x:v>Subtidal benthic molluscs</x:v>
      </x:c>
      <x:c r="M81" s="33" t="str">
        <x:v>Mollusca (non-cephalopods)</x:v>
      </x:c>
    </x:row>
    <x:row r="82">
      <x:c r="A82" s="33" t="str">
        <x:v>Genus</x:v>
      </x:c>
      <x:c r="B82" s="33" t="str">
        <x:v>Species</x:v>
      </x:c>
      <x:c r="C82" s="33" t="str">
        <x:v>Spisula trigonella</x:v>
      </x:c>
      <x:c r="D82" s="33" t="str">
        <x:v>Spisula trigonella</x:v>
      </x:c>
      <x:c r="E82" s="59" t="n">
        <x:v>2.15</x:v>
      </x:c>
      <x:c r="F82" s="59"/>
      <x:c r="G82" s="59" t="str">
        <x:f>IF(F82="","",F82-E82)</x:f>
      </x:c>
      <x:c r="H82" s="59" t="str">
        <x:f>IF(G82="","",ABS(G82))</x:f>
      </x:c>
      <x:c r="I82" s="60" t="str">
        <x:f>IF(G82="","",ABS(G82/E82)*100)</x:f>
      </x:c>
      <x:c r="J82" s="33" t="str">
        <x:v>Spisula</x:v>
      </x:c>
      <x:c r="K82" s="33" t="str">
        <x:v>Mactridae</x:v>
      </x:c>
      <x:c r="L82" s="33" t="str">
        <x:v>Benthic bivalves</x:v>
      </x:c>
      <x:c r="M82" s="33" t="str">
        <x:v>Mollusca (non-cephalopods)</x:v>
      </x:c>
    </x:row>
    <x:row r="83">
      <x:c r="A83" s="33" t="str">
        <x:v>Genus</x:v>
      </x:c>
      <x:c r="B83" s="33" t="str">
        <x:v>Species</x:v>
      </x:c>
      <x:c r="C83" s="33" t="str">
        <x:v>Amarinus laevis</x:v>
      </x:c>
      <x:c r="D83" s="33" t="str">
        <x:v>Amarinus laevis</x:v>
      </x:c>
      <x:c r="E83" s="59" t="n">
        <x:v>2.13</x:v>
      </x:c>
      <x:c r="F83" s="59"/>
      <x:c r="G83" s="59" t="str">
        <x:f>IF(F83="","",F83-E83)</x:f>
      </x:c>
      <x:c r="H83" s="59" t="str">
        <x:f>IF(G83="","",ABS(G83))</x:f>
      </x:c>
      <x:c r="I83" s="60" t="str">
        <x:f>IF(G83="","",ABS(G83/E83)*100)</x:f>
      </x:c>
      <x:c r="J83" s="33" t="str">
        <x:v>Amarinus</x:v>
      </x:c>
      <x:c r="K83" s="33" t="str">
        <x:v>Hymenosomatidae</x:v>
      </x:c>
      <x:c r="L83" s="33" t="str">
        <x:v>Benthic decapods</x:v>
      </x:c>
      <x:c r="M83" s="33" t="str">
        <x:v>Crustacea</x:v>
      </x:c>
    </x:row>
    <x:row r="84">
      <x:c r="A84" s="33" t="str">
        <x:v>Genus</x:v>
      </x:c>
      <x:c r="B84" s="33" t="str">
        <x:v>Species</x:v>
      </x:c>
      <x:c r="C84" s="33" t="str">
        <x:v>Paragrapsus gaimardii</x:v>
      </x:c>
      <x:c r="D84" s="33" t="str">
        <x:v>Paragrapsus gaimardii</x:v>
      </x:c>
      <x:c r="E84" s="59" t="n">
        <x:v>3.64</x:v>
      </x:c>
      <x:c r="F84" s="59"/>
      <x:c r="G84" s="59" t="str">
        <x:f>IF(F84="","",F84-E84)</x:f>
      </x:c>
      <x:c r="H84" s="59" t="str">
        <x:f>IF(G84="","",ABS(G84))</x:f>
      </x:c>
      <x:c r="I84" s="60" t="str">
        <x:f>IF(G84="","",ABS(G84/E84)*100)</x:f>
      </x:c>
      <x:c r="J84" s="33" t="str">
        <x:v>Paragrapsus</x:v>
      </x:c>
      <x:c r="K84" s="33" t="str">
        <x:v>Varunidae</x:v>
      </x:c>
      <x:c r="L84" s="33" t="str">
        <x:v>Benthic decapods</x:v>
      </x:c>
      <x:c r="M84" s="33" t="str">
        <x:v>Crustacea</x:v>
      </x:c>
    </x:row>
    <x:row r="85">
      <x:c r="A85" s="33" t="str">
        <x:v>Genus</x:v>
      </x:c>
      <x:c r="B85" s="33" t="str">
        <x:v>Species</x:v>
      </x:c>
      <x:c r="C85" s="33" t="str">
        <x:v>Hyporhamphus regularis</x:v>
      </x:c>
      <x:c r="D85" s="33" t="str">
        <x:v>Hyporhamphus regularis</x:v>
      </x:c>
      <x:c r="E85" s="59" t="n">
        <x:v>5.83</x:v>
      </x:c>
      <x:c r="F85" s="59"/>
      <x:c r="G85" s="59" t="str">
        <x:f>IF(F85="","",F85-E85)</x:f>
      </x:c>
      <x:c r="H85" s="59" t="str">
        <x:f>IF(G85="","",ABS(G85))</x:f>
      </x:c>
      <x:c r="I85" s="60" t="str">
        <x:f>IF(G85="","",ABS(G85/E85)*100)</x:f>
      </x:c>
      <x:c r="J85" s="33" t="str">
        <x:v>Hyporhamphus</x:v>
      </x:c>
      <x:c r="K85" s="33" t="str">
        <x:v>Hemiramphidae</x:v>
      </x:c>
      <x:c r="L85" s="33" t="str">
        <x:v>Coastal surface-dwelling fishes</x:v>
      </x:c>
      <x:c r="M85" s="33" t="str">
        <x:v>Teleostei</x:v>
      </x:c>
    </x:row>
    <x:row r="86">
      <x:c r="A86" s="33" t="str">
        <x:v>Genus</x:v>
      </x:c>
      <x:c r="B86" s="33" t="str">
        <x:v>Species</x:v>
      </x:c>
      <x:c r="C86" s="33" t="str">
        <x:v>Hyperlophus vittatus</x:v>
      </x:c>
      <x:c r="D86" s="33" t="str">
        <x:v>Hyperlophus vittatus</x:v>
      </x:c>
      <x:c r="E86" s="59" t="n">
        <x:v>4.4399999999999995</x:v>
      </x:c>
      <x:c r="F86" s="59"/>
      <x:c r="G86" s="59" t="str">
        <x:f>IF(F86="","",F86-E86)</x:f>
      </x:c>
      <x:c r="H86" s="59" t="str">
        <x:f>IF(G86="","",ABS(G86))</x:f>
      </x:c>
      <x:c r="I86" s="60" t="str">
        <x:f>IF(G86="","",ABS(G86/E86)*100)</x:f>
      </x:c>
      <x:c r="J86" s="33" t="str">
        <x:v>Hyperlophus</x:v>
      </x:c>
      <x:c r="K86" s="33" t="str">
        <x:v>Clupeidae</x:v>
      </x:c>
      <x:c r="L86" s="33" t="str">
        <x:v>Small pelagic forage fishes</x:v>
      </x:c>
      <x:c r="M86" s="33" t="str">
        <x:v>Teleostei</x:v>
      </x:c>
    </x:row>
    <x:row r="87">
      <x:c r="A87" s="33" t="str">
        <x:v>Genus</x:v>
      </x:c>
      <x:c r="B87" s="33" t="str">
        <x:v>Species</x:v>
      </x:c>
      <x:c r="C87" s="33" t="str">
        <x:v>Afurcagobius tamarensis</x:v>
      </x:c>
      <x:c r="D87" s="33" t="str">
        <x:v>Afurcagobius tamarensis</x:v>
      </x:c>
      <x:c r="E87" s="59" t="n">
        <x:v>5</x:v>
      </x:c>
      <x:c r="F87" s="59"/>
      <x:c r="G87" s="59" t="str">
        <x:f>IF(F87="","",F87-E87)</x:f>
      </x:c>
      <x:c r="H87" s="59" t="str">
        <x:f>IF(G87="","",ABS(G87))</x:f>
      </x:c>
      <x:c r="I87" s="60" t="str">
        <x:f>IF(G87="","",ABS(G87/E87)*100)</x:f>
      </x:c>
      <x:c r="J87" s="33" t="str">
        <x:v>Afurcagobius</x:v>
      </x:c>
      <x:c r="K87" s="33" t="str">
        <x:v>Gobiidae</x:v>
      </x:c>
      <x:c r="L87" s="33" t="str">
        <x:v>Small demersal zoobenthivorous fishes</x:v>
      </x:c>
      <x:c r="M87" s="33" t="str">
        <x:v>Teleostei</x:v>
      </x:c>
    </x:row>
    <x:row r="88">
      <x:c r="A88" s="33" t="str">
        <x:v>Genus</x:v>
      </x:c>
      <x:c r="B88" s="33" t="str">
        <x:v>Species</x:v>
      </x:c>
      <x:c r="C88" s="33" t="str">
        <x:v>Tasmanogobius lasti</x:v>
      </x:c>
      <x:c r="D88" s="33" t="str">
        <x:v>Tasmanogobius lasti</x:v>
      </x:c>
      <x:c r="E88" s="59" t="n">
        <x:v>5.64</x:v>
      </x:c>
      <x:c r="F88" s="59"/>
      <x:c r="G88" s="59" t="str">
        <x:f>IF(F88="","",F88-E88)</x:f>
      </x:c>
      <x:c r="H88" s="59" t="str">
        <x:f>IF(G88="","",ABS(G88))</x:f>
      </x:c>
      <x:c r="I88" s="60" t="str">
        <x:f>IF(G88="","",ABS(G88/E88)*100)</x:f>
      </x:c>
      <x:c r="J88" s="33" t="str">
        <x:v>Tasmanogobius</x:v>
      </x:c>
      <x:c r="K88" s="33" t="str">
        <x:v>Gobiidae</x:v>
      </x:c>
      <x:c r="L88" s="33" t="str">
        <x:v>Small demersal zoobenthivorous fishes</x:v>
      </x:c>
      <x:c r="M88" s="33" t="str">
        <x:v>Teleostei</x:v>
      </x:c>
    </x:row>
    <x:row r="89">
      <x:c r="A89" s="33" t="str">
        <x:v>Genus</x:v>
      </x:c>
      <x:c r="B89" s="33" t="str">
        <x:v>Species</x:v>
      </x:c>
      <x:c r="C89" s="33" t="str">
        <x:v>Pseudaphritis urvillii</x:v>
      </x:c>
      <x:c r="D89" s="33" t="str">
        <x:v>Pseudaphritis urvillii</x:v>
      </x:c>
      <x:c r="E89" s="59" t="n">
        <x:v>6.35</x:v>
      </x:c>
      <x:c r="F89" s="59"/>
      <x:c r="G89" s="59" t="str">
        <x:f>IF(F89="","",F89-E89)</x:f>
      </x:c>
      <x:c r="H89" s="59" t="str">
        <x:f>IF(G89="","",ABS(G89))</x:f>
      </x:c>
      <x:c r="I89" s="60" t="str">
        <x:f>IF(G89="","",ABS(G89/E89)*100)</x:f>
      </x:c>
      <x:c r="J89" s="33" t="str">
        <x:v>Pseudaphritis</x:v>
      </x:c>
      <x:c r="K89" s="33" t="str">
        <x:v>Pseudaphritidae</x:v>
      </x:c>
      <x:c r="L89" s="33" t="str">
        <x:v>Other demersal fishes</x:v>
      </x:c>
      <x:c r="M89" s="33" t="str">
        <x:v>Teleostei</x:v>
      </x:c>
    </x:row>
    <x:row r="90">
      <x:c r="A90" s="33" t="str">
        <x:v>Genus</x:v>
      </x:c>
      <x:c r="B90" s="33" t="str">
        <x:v>Species</x:v>
      </x:c>
      <x:c r="C90" s="33" t="str">
        <x:v>Atherinosoma microstoma</x:v>
      </x:c>
      <x:c r="D90" s="33" t="str">
        <x:v>Atherinosoma microstoma</x:v>
      </x:c>
      <x:c r="E90" s="59" t="n">
        <x:v>5.32</x:v>
      </x:c>
      <x:c r="F90" s="59"/>
      <x:c r="G90" s="59" t="str">
        <x:f>IF(F90="","",F90-E90)</x:f>
      </x:c>
      <x:c r="H90" s="59" t="str">
        <x:f>IF(G90="","",ABS(G90))</x:f>
      </x:c>
      <x:c r="I90" s="60" t="str">
        <x:f>IF(G90="","",ABS(G90/E90)*100)</x:f>
      </x:c>
      <x:c r="J90" s="33" t="str">
        <x:v>Atherinosoma</x:v>
      </x:c>
      <x:c r="K90" s="33" t="str">
        <x:v>Atherinidae</x:v>
      </x:c>
      <x:c r="L90" s="33" t="str">
        <x:v>Small pelagic forage fishes</x:v>
      </x:c>
      <x:c r="M90" s="33" t="str">
        <x:v>Teleostei</x:v>
      </x:c>
    </x:row>
    <x:row r="91">
      <x:c r="A91" s="33" t="str">
        <x:v>Genus</x:v>
      </x:c>
      <x:c r="B91" s="33" t="str">
        <x:v>Species</x:v>
      </x:c>
      <x:c r="C91" s="33" t="str">
        <x:v>Aldrichetta forsteri</x:v>
      </x:c>
      <x:c r="D91" s="33" t="str">
        <x:v>Aldrichetta forsteri</x:v>
      </x:c>
      <x:c r="E91" s="59" t="n">
        <x:v>6.14</x:v>
      </x:c>
      <x:c r="F91" s="59"/>
      <x:c r="G91" s="59" t="str">
        <x:f>IF(F91="","",F91-E91)</x:f>
      </x:c>
      <x:c r="H91" s="59" t="str">
        <x:f>IF(G91="","",ABS(G91))</x:f>
      </x:c>
      <x:c r="I91" s="60" t="str">
        <x:f>IF(G91="","",ABS(G91/E91)*100)</x:f>
      </x:c>
      <x:c r="J91" s="33" t="str">
        <x:v>Aldrichetta</x:v>
      </x:c>
      <x:c r="K91" s="33" t="str">
        <x:v>Mugilidae</x:v>
      </x:c>
      <x:c r="L91" s="33" t="str">
        <x:v>Estuarine/coastal fishes</x:v>
      </x:c>
      <x:c r="M91" s="33" t="str">
        <x:v>Teleostei</x:v>
      </x:c>
    </x:row>
    <x:row r="92">
      <x:c r="A92" s="33" t="str">
        <x:v>Genus</x:v>
      </x:c>
      <x:c r="B92" s="33" t="str">
        <x:v>Species</x:v>
      </x:c>
      <x:c r="C92" s="33" t="str">
        <x:v>Ammotretis rostratus</x:v>
      </x:c>
      <x:c r="D92" s="33" t="str">
        <x:v>Ammotretis rostratus</x:v>
      </x:c>
      <x:c r="E92" s="59" t="n">
        <x:v>4.72</x:v>
      </x:c>
      <x:c r="F92" s="59"/>
      <x:c r="G92" s="59" t="str">
        <x:f>IF(F92="","",F92-E92)</x:f>
      </x:c>
      <x:c r="H92" s="59" t="str">
        <x:f>IF(G92="","",ABS(G92))</x:f>
      </x:c>
      <x:c r="I92" s="60" t="str">
        <x:f>IF(G92="","",ABS(G92/E92)*100)</x:f>
      </x:c>
      <x:c r="J92" s="33" t="str">
        <x:v>Ammotretis</x:v>
      </x:c>
      <x:c r="K92" s="33" t="str">
        <x:v>Pleuronectidae</x:v>
      </x:c>
      <x:c r="L92" s="33" t="str">
        <x:v>Demersal flatfishes</x:v>
      </x:c>
      <x:c r="M92" s="33" t="str">
        <x:v>Teleostei</x:v>
      </x:c>
    </x:row>
    <x:row r="93">
      <x:c r="A93" s="33" t="str">
        <x:v>Genus</x:v>
      </x:c>
      <x:c r="B93" s="33" t="str">
        <x:v>Species</x:v>
      </x:c>
      <x:c r="C93" s="33" t="str">
        <x:v>Rhombosolea tapirina</x:v>
      </x:c>
      <x:c r="D93" s="33" t="str">
        <x:v>Rhombosolea tapirina</x:v>
      </x:c>
      <x:c r="E93" s="59" t="n">
        <x:v>4.99</x:v>
      </x:c>
      <x:c r="F93" s="59"/>
      <x:c r="G93" s="59" t="str">
        <x:f>IF(F93="","",F93-E93)</x:f>
      </x:c>
      <x:c r="H93" s="59" t="str">
        <x:f>IF(G93="","",ABS(G93))</x:f>
      </x:c>
      <x:c r="I93" s="60" t="str">
        <x:f>IF(G93="","",ABS(G93/E93)*100)</x:f>
      </x:c>
      <x:c r="J93" s="33" t="str">
        <x:v>Rhombosolea</x:v>
      </x:c>
      <x:c r="K93" s="33" t="str">
        <x:v>Pleuronectidae</x:v>
      </x:c>
      <x:c r="L93" s="33" t="str">
        <x:v>Demersal flatfishes</x:v>
      </x:c>
      <x:c r="M93" s="33" t="str">
        <x:v>Teleostei</x:v>
      </x:c>
    </x:row>
    <x:row r="94">
      <x:c r="A94" s="33" t="str">
        <x:v>Genus</x:v>
      </x:c>
      <x:c r="B94" s="33" t="str">
        <x:v>Species</x:v>
      </x:c>
      <x:c r="C94" s="33" t="str">
        <x:v>Acanthopagrus butcheri</x:v>
      </x:c>
      <x:c r="D94" s="33" t="str">
        <x:v>Acanthopagrus butcheri</x:v>
      </x:c>
      <x:c r="E94" s="59" t="n">
        <x:v>5.97</x:v>
      </x:c>
      <x:c r="F94" s="59" t="n">
        <x:v>5.75</x:v>
      </x:c>
      <x:c r="G94" s="59" t="n">
        <x:f>IF(F94="","",F94-E94)</x:f>
        <x:v>-0.21999999999999975</x:v>
      </x:c>
      <x:c r="H94" s="59" t="n">
        <x:f>IF(G94="","",ABS(G94))</x:f>
        <x:v>0.21999999999999975</x:v>
      </x:c>
      <x:c r="I94" s="60" t="n">
        <x:f>IF(G94="","",ABS(G94/E94)*100)</x:f>
        <x:v>3.6850921273031787</x:v>
      </x:c>
      <x:c r="J94" s="33" t="str">
        <x:v>Acanthopagrus</x:v>
      </x:c>
      <x:c r="K94" s="33" t="str">
        <x:v>Sparidae</x:v>
      </x:c>
      <x:c r="L94" s="33" t="str">
        <x:v>Other demersal fishes</x:v>
      </x:c>
      <x:c r="M94" s="33" t="str">
        <x:v>Teleostei</x:v>
      </x:c>
    </x:row>
    <x:row r="95">
      <x:c r="A95" s="33" t="str">
        <x:v>Genus</x:v>
      </x:c>
      <x:c r="B95" s="33" t="str">
        <x:v>Species</x:v>
      </x:c>
      <x:c r="C95" s="33" t="str">
        <x:v>Arripis truttaceus</x:v>
      </x:c>
      <x:c r="D95" s="33" t="str">
        <x:v>Arripis truttaceus</x:v>
      </x:c>
      <x:c r="E95" s="59" t="n">
        <x:v>5.92</x:v>
      </x:c>
      <x:c r="F95" s="59"/>
      <x:c r="G95" s="59" t="str">
        <x:f>IF(F95="","",F95-E95)</x:f>
      </x:c>
      <x:c r="H95" s="59" t="str">
        <x:f>IF(G95="","",ABS(G95))</x:f>
      </x:c>
      <x:c r="I95" s="60" t="str">
        <x:f>IF(G95="","",ABS(G95/E95)*100)</x:f>
      </x:c>
      <x:c r="J95" s="33" t="str">
        <x:v>Arripis</x:v>
      </x:c>
      <x:c r="K95" s="33" t="str">
        <x:v>Arripidae</x:v>
      </x:c>
      <x:c r="L95" s="33" t="str">
        <x:v>Other pelagic fishes</x:v>
      </x:c>
      <x:c r="M95" s="33" t="str">
        <x:v>Teleostei</x:v>
      </x:c>
    </x:row>
    <x:row r="96">
      <x:c r="A96" s="33" t="str">
        <x:v>Genus</x:v>
      </x:c>
      <x:c r="B96" s="33" t="str">
        <x:v>Species</x:v>
      </x:c>
      <x:c r="C96" s="33" t="str">
        <x:v>Argyrosomus japonicus</x:v>
      </x:c>
      <x:c r="D96" s="33" t="str">
        <x:v>Argyrosomus japonicus</x:v>
      </x:c>
      <x:c r="E96" s="59" t="n">
        <x:v>5.56</x:v>
      </x:c>
      <x:c r="F96" s="59"/>
      <x:c r="G96" s="59" t="str">
        <x:f>IF(F96="","",F96-E96)</x:f>
      </x:c>
      <x:c r="H96" s="59" t="str">
        <x:f>IF(G96="","",ABS(G96))</x:f>
      </x:c>
      <x:c r="I96" s="60" t="str">
        <x:f>IF(G96="","",ABS(G96/E96)*100)</x:f>
      </x:c>
      <x:c r="J96" s="33" t="str">
        <x:v>Argyrosomus</x:v>
      </x:c>
      <x:c r="K96" s="33" t="str">
        <x:v>Sciaenidae</x:v>
      </x:c>
      <x:c r="L96" s="33" t="str">
        <x:v>Other demersal fishes</x:v>
      </x:c>
      <x:c r="M96" s="33" t="str">
        <x:v>Teleostei</x:v>
      </x:c>
    </x:row>
    <x:row r="97">
      <x:c r="A97" s="33" t="str">
        <x:v>Genus</x:v>
      </x:c>
      <x:c r="B97" s="33" t="str">
        <x:v>Species</x:v>
      </x:c>
      <x:c r="C97" s="33" t="str">
        <x:v>Engraulis mordax</x:v>
      </x:c>
      <x:c r="D97" s="33" t="str">
        <x:v>Engraulis mordax</x:v>
      </x:c>
      <x:c r="E97" s="59" t="n">
        <x:v>7.85</x:v>
      </x:c>
      <x:c r="F97" s="59" t="n">
        <x:v>5.8</x:v>
      </x:c>
      <x:c r="G97" s="59" t="n">
        <x:f>IF(F97="","",F97-E97)</x:f>
        <x:v>-2.05</x:v>
      </x:c>
      <x:c r="H97" s="59" t="n">
        <x:f>IF(G97="","",ABS(G97))</x:f>
        <x:v>2.05</x:v>
      </x:c>
      <x:c r="I97" s="60" t="n">
        <x:f>IF(G97="","",ABS(G97/E97)*100)</x:f>
        <x:v>26.11464968152866</x:v>
      </x:c>
      <x:c r="J97" s="33" t="str">
        <x:v>Engraulis</x:v>
      </x:c>
      <x:c r="K97" s="33" t="str">
        <x:v>Engraulidae</x:v>
      </x:c>
      <x:c r="L97" s="33" t="str">
        <x:v>Small pelagic forage fishes</x:v>
      </x:c>
      <x:c r="M97" s="33" t="str">
        <x:v>Teleostei</x:v>
      </x:c>
    </x:row>
    <x:row r="98">
      <x:c r="A98" s="33" t="str">
        <x:v>Genus</x:v>
      </x:c>
      <x:c r="B98" s="33" t="str">
        <x:v>Species</x:v>
      </x:c>
      <x:c r="C98" s="33" t="str">
        <x:v>Sardinops sagax</x:v>
      </x:c>
      <x:c r="D98" s="33" t="str">
        <x:v>Sardinops sagax</x:v>
      </x:c>
      <x:c r="E98" s="59" t="n">
        <x:v>6.75</x:v>
      </x:c>
      <x:c r="F98" s="59"/>
      <x:c r="G98" s="59" t="str">
        <x:f>IF(F98="","",F98-E98)</x:f>
      </x:c>
      <x:c r="H98" s="59" t="str">
        <x:f>IF(G98="","",ABS(G98))</x:f>
      </x:c>
      <x:c r="I98" s="60" t="str">
        <x:f>IF(G98="","",ABS(G98/E98)*100)</x:f>
      </x:c>
      <x:c r="J98" s="33" t="str">
        <x:v>Sardinops</x:v>
      </x:c>
      <x:c r="K98" s="33" t="str">
        <x:v>Clupeidae</x:v>
      </x:c>
      <x:c r="L98" s="33" t="str">
        <x:v>Small pelagic forage fishes</x:v>
      </x:c>
      <x:c r="M98" s="33" t="str">
        <x:v>Teleostei</x:v>
      </x:c>
    </x:row>
    <x:row r="99">
      <x:c r="A99" s="33" t="str">
        <x:v>Genus</x:v>
      </x:c>
      <x:c r="B99" s="33" t="str">
        <x:v>Species</x:v>
      </x:c>
      <x:c r="C99" s="33" t="str">
        <x:v>Doryteuthis opalescens</x:v>
      </x:c>
      <x:c r="D99" s="33" t="str">
        <x:v>Doryteuthis opalescens</x:v>
      </x:c>
      <x:c r="E99" s="59" t="n">
        <x:v>4.85</x:v>
      </x:c>
      <x:c r="F99" s="59" t="n">
        <x:v>5.16</x:v>
      </x:c>
      <x:c r="G99" s="59" t="n">
        <x:f>IF(F99="","",F99-E99)</x:f>
        <x:v>0.3100000000000005</x:v>
      </x:c>
      <x:c r="H99" s="59" t="n">
        <x:f>IF(G99="","",ABS(G99))</x:f>
        <x:v>0.3100000000000005</x:v>
      </x:c>
      <x:c r="I99" s="60" t="n">
        <x:f>IF(G99="","",ABS(G99/E99)*100)</x:f>
        <x:v>6.391752577319599</x:v>
      </x:c>
      <x:c r="J99" s="33" t="str">
        <x:v>Doryteuthis</x:v>
      </x:c>
      <x:c r="K99" s="33" t="str">
        <x:v>Loliginidae</x:v>
      </x:c>
      <x:c r="L99" s="33" t="str">
        <x:v>Pelagic squids</x:v>
      </x:c>
      <x:c r="M99" s="33" t="str">
        <x:v>Cephalopoda</x:v>
      </x:c>
    </x:row>
    <x:row r="100">
      <x:c r="A100" s="33" t="str">
        <x:v>Genus</x:v>
      </x:c>
      <x:c r="B100" s="33" t="str">
        <x:v>Species</x:v>
      </x:c>
      <x:c r="C100" s="33" t="str">
        <x:v>Alosa pseudoharengus</x:v>
      </x:c>
      <x:c r="D100" s="33" t="str">
        <x:v>Alosa pseudoharengus</x:v>
      </x:c>
      <x:c r="E100" s="59" t="n">
        <x:v>6.99</x:v>
      </x:c>
      <x:c r="F100" s="59"/>
      <x:c r="G100" s="59" t="str">
        <x:f>IF(F100="","",F100-E100)</x:f>
      </x:c>
      <x:c r="H100" s="59" t="str">
        <x:f>IF(G100="","",ABS(G100))</x:f>
      </x:c>
      <x:c r="I100" s="60" t="str">
        <x:f>IF(G100="","",ABS(G100/E100)*100)</x:f>
      </x:c>
      <x:c r="J100" s="33" t="str">
        <x:v>Alosa</x:v>
      </x:c>
      <x:c r="K100" s="33" t="str">
        <x:v>Clupeidae</x:v>
      </x:c>
      <x:c r="L100" s="33" t="str">
        <x:v>Small pelagic forage fishes</x:v>
      </x:c>
      <x:c r="M100" s="33" t="str">
        <x:v>Teleostei</x:v>
      </x:c>
    </x:row>
    <x:row r="101">
      <x:c r="A101" s="33" t="str">
        <x:v>Genus</x:v>
      </x:c>
      <x:c r="B101" s="33" t="str">
        <x:v>Species</x:v>
      </x:c>
      <x:c r="C101" s="33" t="str">
        <x:v>Merluccius bilinearis</x:v>
      </x:c>
      <x:c r="D101" s="33" t="str">
        <x:v>Merluccius bilinearis</x:v>
      </x:c>
      <x:c r="E101" s="59" t="n">
        <x:v>4.28</x:v>
      </x:c>
      <x:c r="F101" s="59" t="n">
        <x:v>3.7</x:v>
      </x:c>
      <x:c r="G101" s="59" t="n">
        <x:f>IF(F101="","",F101-E101)</x:f>
        <x:v>-0.5800000000000001</x:v>
      </x:c>
      <x:c r="H101" s="59" t="n">
        <x:f>IF(G101="","",ABS(G101))</x:f>
        <x:v>0.5800000000000001</x:v>
      </x:c>
      <x:c r="I101" s="60" t="n">
        <x:f>IF(G101="","",ABS(G101/E101)*100)</x:f>
        <x:v>13.55140186915888</x:v>
      </x:c>
      <x:c r="J101" s="33" t="str">
        <x:v>Merluccius</x:v>
      </x:c>
      <x:c r="K101" s="33" t="str">
        <x:v>Merlucciidae</x:v>
      </x:c>
      <x:c r="L101" s="33" t="str">
        <x:v>Other demersal fishes</x:v>
      </x:c>
      <x:c r="M101" s="33" t="str">
        <x:v>Teleostei</x:v>
      </x:c>
    </x:row>
    <x:row r="102">
      <x:c r="A102" s="33" t="str">
        <x:v>Genus</x:v>
      </x:c>
      <x:c r="B102" s="33" t="str">
        <x:v>Species</x:v>
      </x:c>
      <x:c r="C102" s="33" t="str">
        <x:v>Ammodytes dubius</x:v>
      </x:c>
      <x:c r="D102" s="33" t="str">
        <x:v>Ammodytes dubius</x:v>
      </x:c>
      <x:c r="E102" s="59" t="n">
        <x:v>6</x:v>
      </x:c>
      <x:c r="F102" s="59" t="n">
        <x:v>5.375</x:v>
      </x:c>
      <x:c r="G102" s="59" t="n">
        <x:f>IF(F102="","",F102-E102)</x:f>
        <x:v>-0.625</x:v>
      </x:c>
      <x:c r="H102" s="59" t="n">
        <x:f>IF(G102="","",ABS(G102))</x:f>
        <x:v>0.625</x:v>
      </x:c>
      <x:c r="I102" s="60" t="n">
        <x:f>IF(G102="","",ABS(G102/E102)*100)</x:f>
        <x:v>10.416666666666668</x:v>
      </x:c>
      <x:c r="J102" s="33" t="str">
        <x:v>Ammodytes</x:v>
      </x:c>
      <x:c r="K102" s="33" t="str">
        <x:v>Ammodytidae</x:v>
      </x:c>
      <x:c r="L102" s="33" t="str">
        <x:v>Small pelagic forage fishes</x:v>
      </x:c>
      <x:c r="M102" s="33" t="str">
        <x:v>Teleostei</x:v>
      </x:c>
    </x:row>
    <x:row r="103">
      <x:c r="A103" s="33" t="str">
        <x:v>Genus</x:v>
      </x:c>
      <x:c r="B103" s="33" t="str">
        <x:v>Species</x:v>
      </x:c>
      <x:c r="C103" s="33" t="str">
        <x:v>Peprilus triacanthus</x:v>
      </x:c>
      <x:c r="D103" s="33" t="str">
        <x:v>Peprilus triacanthus</x:v>
      </x:c>
      <x:c r="E103" s="59" t="n">
        <x:v>6.74</x:v>
      </x:c>
      <x:c r="F103" s="59"/>
      <x:c r="G103" s="59" t="str">
        <x:f>IF(F103="","",F103-E103)</x:f>
      </x:c>
      <x:c r="H103" s="59" t="str">
        <x:f>IF(G103="","",ABS(G103))</x:f>
      </x:c>
      <x:c r="I103" s="60" t="str">
        <x:f>IF(G103="","",ABS(G103/E103)*100)</x:f>
      </x:c>
      <x:c r="J103" s="33" t="str">
        <x:v>Peprilus</x:v>
      </x:c>
      <x:c r="K103" s="33" t="str">
        <x:v>Stromateidae</x:v>
      </x:c>
      <x:c r="L103" s="33" t="str">
        <x:v>Small pelagic forage fishes</x:v>
      </x:c>
      <x:c r="M103" s="33" t="str">
        <x:v>Teleostei</x:v>
      </x:c>
    </x:row>
    <x:row r="104">
      <x:c r="A104" s="33" t="str">
        <x:v>Genus</x:v>
      </x:c>
      <x:c r="B104" s="33" t="str">
        <x:v>Species</x:v>
      </x:c>
      <x:c r="C104" s="33" t="str">
        <x:v>Illex illecebrosus</x:v>
      </x:c>
      <x:c r="D104" s="33" t="str">
        <x:v>Illex illecebrosus</x:v>
      </x:c>
      <x:c r="E104" s="59" t="n">
        <x:v>5.45</x:v>
      </x:c>
      <x:c r="F104" s="59" t="n">
        <x:v>4.3</x:v>
      </x:c>
      <x:c r="G104" s="59" t="n">
        <x:f>IF(F104="","",F104-E104)</x:f>
        <x:v>-1.1500000000000004</x:v>
      </x:c>
      <x:c r="H104" s="59" t="n">
        <x:f>IF(G104="","",ABS(G104))</x:f>
        <x:v>1.1500000000000004</x:v>
      </x:c>
      <x:c r="I104" s="60" t="n">
        <x:f>IF(G104="","",ABS(G104/E104)*100)</x:f>
        <x:v>21.100917431192666</x:v>
      </x:c>
      <x:c r="J104" s="33" t="str">
        <x:v>Illex</x:v>
      </x:c>
      <x:c r="K104" s="33" t="str">
        <x:v>Ommastrephidae</x:v>
      </x:c>
      <x:c r="L104" s="33" t="str">
        <x:v>Pelagic squids</x:v>
      </x:c>
      <x:c r="M104" s="33" t="str">
        <x:v>Cephalopoda</x:v>
      </x:c>
    </x:row>
    <x:row r="105">
      <x:c r="A105" s="33" t="str">
        <x:v>Genus</x:v>
      </x:c>
      <x:c r="B105" s="33" t="str">
        <x:v>Species</x:v>
      </x:c>
      <x:c r="C105" s="33" t="str">
        <x:v>Doryteuthis pealeii</x:v>
      </x:c>
      <x:c r="D105" s="33" t="str">
        <x:v>Doryteuthis pealeii</x:v>
      </x:c>
      <x:c r="E105" s="59" t="n">
        <x:v>5.16</x:v>
      </x:c>
      <x:c r="F105" s="59" t="n">
        <x:v>4.85</x:v>
      </x:c>
      <x:c r="G105" s="59" t="n">
        <x:f>IF(F105="","",F105-E105)</x:f>
        <x:v>-0.3100000000000005</x:v>
      </x:c>
      <x:c r="H105" s="59" t="n">
        <x:f>IF(G105="","",ABS(G105))</x:f>
        <x:v>0.3100000000000005</x:v>
      </x:c>
      <x:c r="I105" s="60" t="n">
        <x:f>IF(G105="","",ABS(G105/E105)*100)</x:f>
        <x:v>6.007751937984505</x:v>
      </x:c>
      <x:c r="J105" s="33" t="str">
        <x:v>Doryteuthis</x:v>
      </x:c>
      <x:c r="K105" s="33" t="str">
        <x:v>Loliginidae</x:v>
      </x:c>
      <x:c r="L105" s="33" t="str">
        <x:v>Pelagic squids</x:v>
      </x:c>
      <x:c r="M105" s="33" t="str">
        <x:v>Cephalopoda</x:v>
      </x:c>
    </x:row>
    <x:row r="106">
      <x:c r="A106" s="33" t="str">
        <x:v>Genus</x:v>
      </x:c>
      <x:c r="B106" s="33" t="str">
        <x:v>Species</x:v>
      </x:c>
      <x:c r="C106" s="33" t="str">
        <x:v>Pomatomus saltatrix</x:v>
      </x:c>
      <x:c r="D106" s="33" t="str">
        <x:v>Pomatomus saltatrix</x:v>
      </x:c>
      <x:c r="E106" s="59" t="n">
        <x:v>7.06</x:v>
      </x:c>
      <x:c r="F106" s="59"/>
      <x:c r="G106" s="59" t="str">
        <x:f>IF(F106="","",F106-E106)</x:f>
      </x:c>
      <x:c r="H106" s="59" t="str">
        <x:f>IF(G106="","",ABS(G106))</x:f>
      </x:c>
      <x:c r="I106" s="60" t="str">
        <x:f>IF(G106="","",ABS(G106/E106)*100)</x:f>
      </x:c>
      <x:c r="J106" s="33" t="str">
        <x:v>Pomatomus</x:v>
      </x:c>
      <x:c r="K106" s="33" t="str">
        <x:v>Pomatomidae</x:v>
      </x:c>
      <x:c r="L106" s="33" t="str">
        <x:v>Pelagic predatory fishes</x:v>
      </x:c>
      <x:c r="M106" s="33" t="str">
        <x:v>Teleostei</x:v>
      </x:c>
    </x:row>
    <x:row r="107">
      <x:c r="A107" s="33" t="str">
        <x:v>Genus</x:v>
      </x:c>
      <x:c r="B107" s="33" t="str">
        <x:v>Species</x:v>
      </x:c>
      <x:c r="C107" s="33" t="str">
        <x:v>Trachurus novaezelandiae</x:v>
      </x:c>
      <x:c r="D107" s="33" t="str">
        <x:v>Trachurus novaezelandiae</x:v>
      </x:c>
      <x:c r="E107" s="59" t="n">
        <x:v>5.78</x:v>
      </x:c>
      <x:c r="F107" s="59" t="n">
        <x:v>6</x:v>
      </x:c>
      <x:c r="G107" s="59" t="n">
        <x:f>IF(F107="","",F107-E107)</x:f>
        <x:v>0.21999999999999975</x:v>
      </x:c>
      <x:c r="H107" s="59" t="n">
        <x:f>IF(G107="","",ABS(G107))</x:f>
        <x:v>0.21999999999999975</x:v>
      </x:c>
      <x:c r="I107" s="60" t="n">
        <x:f>IF(G107="","",ABS(G107/E107)*100)</x:f>
        <x:v>3.806228373702418</x:v>
      </x:c>
      <x:c r="J107" s="33" t="str">
        <x:v>Trachurus</x:v>
      </x:c>
      <x:c r="K107" s="33" t="str">
        <x:v>Carangidae</x:v>
      </x:c>
      <x:c r="L107" s="33" t="str">
        <x:v>Small pelagic forage fishes</x:v>
      </x:c>
      <x:c r="M107" s="33" t="str">
        <x:v>Teleostei</x:v>
      </x:c>
    </x:row>
    <x:row r="108">
      <x:c r="A108" s="33" t="str">
        <x:v>Genus</x:v>
      </x:c>
      <x:c r="B108" s="33" t="str">
        <x:v>Species</x:v>
      </x:c>
      <x:c r="C108" s="33" t="str">
        <x:v>Acanthopagrus australis</x:v>
      </x:c>
      <x:c r="D108" s="33" t="str">
        <x:v>Acanthopagrus australis</x:v>
      </x:c>
      <x:c r="E108" s="59" t="n">
        <x:v>5.75</x:v>
      </x:c>
      <x:c r="F108" s="59" t="n">
        <x:v>5.97</x:v>
      </x:c>
      <x:c r="G108" s="59" t="n">
        <x:f>IF(F108="","",F108-E108)</x:f>
        <x:v>0.21999999999999975</x:v>
      </x:c>
      <x:c r="H108" s="59" t="n">
        <x:f>IF(G108="","",ABS(G108))</x:f>
        <x:v>0.21999999999999975</x:v>
      </x:c>
      <x:c r="I108" s="60" t="n">
        <x:f>IF(G108="","",ABS(G108/E108)*100)</x:f>
        <x:v>3.826086956521735</x:v>
      </x:c>
      <x:c r="J108" s="33" t="str">
        <x:v>Acanthopagrus</x:v>
      </x:c>
      <x:c r="K108" s="33" t="str">
        <x:v>Sparidae</x:v>
      </x:c>
      <x:c r="L108" s="33" t="str">
        <x:v>Other demersal fishes</x:v>
      </x:c>
      <x:c r="M108" s="33" t="str">
        <x:v>Teleostei</x:v>
      </x:c>
    </x:row>
    <x:row r="109">
      <x:c r="A109" s="33" t="str">
        <x:v>Genus</x:v>
      </x:c>
      <x:c r="B109" s="33" t="str">
        <x:v>Species</x:v>
      </x:c>
      <x:c r="C109" s="33" t="str">
        <x:v>Scomber australasicus</x:v>
      </x:c>
      <x:c r="D109" s="33" t="str">
        <x:v>Scomber australasicus</x:v>
      </x:c>
      <x:c r="E109" s="59" t="n">
        <x:v>5.43</x:v>
      </x:c>
      <x:c r="F109" s="59" t="n">
        <x:v>6.815</x:v>
      </x:c>
      <x:c r="G109" s="59" t="n">
        <x:f>IF(F109="","",F109-E109)</x:f>
        <x:v>1.3850000000000007</x:v>
      </x:c>
      <x:c r="H109" s="59" t="n">
        <x:f>IF(G109="","",ABS(G109))</x:f>
        <x:v>1.3850000000000007</x:v>
      </x:c>
      <x:c r="I109" s="60" t="n">
        <x:f>IF(G109="","",ABS(G109/E109)*100)</x:f>
        <x:v>25.506445672191543</x:v>
      </x:c>
      <x:c r="J109" s="33" t="str">
        <x:v>Scomber</x:v>
      </x:c>
      <x:c r="K109" s="33" t="str">
        <x:v>Scombridae</x:v>
      </x:c>
      <x:c r="L109" s="33" t="str">
        <x:v>Small pelagic forage fishes</x:v>
      </x:c>
      <x:c r="M109" s="33" t="str">
        <x:v>Teleostei</x:v>
      </x:c>
    </x:row>
    <x:row r="110">
      <x:c r="A110" s="33" t="str">
        <x:v>Genus</x:v>
      </x:c>
      <x:c r="B110" s="33" t="str">
        <x:v>Species</x:v>
      </x:c>
      <x:c r="C110" s="33" t="str">
        <x:v>Liza argentea</x:v>
      </x:c>
      <x:c r="D110" s="33" t="str">
        <x:v>Liza argentea</x:v>
      </x:c>
      <x:c r="E110" s="59" t="n">
        <x:v>5.39</x:v>
      </x:c>
      <x:c r="F110" s="59" t="n">
        <x:v>6.5</x:v>
      </x:c>
      <x:c r="G110" s="59" t="n">
        <x:f>IF(F110="","",F110-E110)</x:f>
        <x:v>1.1100000000000003</x:v>
      </x:c>
      <x:c r="H110" s="59" t="n">
        <x:f>IF(G110="","",ABS(G110))</x:f>
        <x:v>1.1100000000000003</x:v>
      </x:c>
      <x:c r="I110" s="60" t="n">
        <x:f>IF(G110="","",ABS(G110/E110)*100)</x:f>
        <x:v>20.593692022263458</x:v>
      </x:c>
      <x:c r="J110" s="33" t="str">
        <x:v>Liza</x:v>
      </x:c>
      <x:c r="K110" s="33" t="str">
        <x:v>Mugilidae</x:v>
      </x:c>
      <x:c r="L110" s="33" t="str">
        <x:v>Estuarine/coastal fishes</x:v>
      </x:c>
      <x:c r="M110" s="33" t="str">
        <x:v>Teleostei</x:v>
      </x:c>
    </x:row>
    <x:row r="111">
      <x:c r="A111" s="33" t="str">
        <x:v>Genus</x:v>
      </x:c>
      <x:c r="B111" s="33" t="str">
        <x:v>Species</x:v>
      </x:c>
      <x:c r="C111" s="33" t="str">
        <x:v>Gerres subfasciatus</x:v>
      </x:c>
      <x:c r="D111" s="33" t="str">
        <x:v>Gerres subfasciatus</x:v>
      </x:c>
      <x:c r="E111" s="59" t="n">
        <x:v>5.2</x:v>
      </x:c>
      <x:c r="F111" s="59"/>
      <x:c r="G111" s="59" t="str">
        <x:f>IF(F111="","",F111-E111)</x:f>
      </x:c>
      <x:c r="H111" s="59" t="str">
        <x:f>IF(G111="","",ABS(G111))</x:f>
      </x:c>
      <x:c r="I111" s="60" t="str">
        <x:f>IF(G111="","",ABS(G111/E111)*100)</x:f>
      </x:c>
      <x:c r="J111" s="33" t="str">
        <x:v>Gerres</x:v>
      </x:c>
      <x:c r="K111" s="33" t="str">
        <x:v>Gerreidae</x:v>
      </x:c>
      <x:c r="L111" s="33" t="str">
        <x:v>Other demersal fishes</x:v>
      </x:c>
      <x:c r="M111" s="33" t="str">
        <x:v>Teleostei</x:v>
      </x:c>
    </x:row>
    <x:row r="112">
      <x:c r="A112" s="33" t="str">
        <x:v>Genus</x:v>
      </x:c>
      <x:c r="B112" s="33" t="str">
        <x:v>Species</x:v>
      </x:c>
      <x:c r="C112" s="33" t="str">
        <x:v>Sillago ciliata</x:v>
      </x:c>
      <x:c r="D112" s="33" t="str">
        <x:v>Sillago ciliata</x:v>
      </x:c>
      <x:c r="E112" s="59" t="n">
        <x:v>5.02</x:v>
      </x:c>
      <x:c r="F112" s="59"/>
      <x:c r="G112" s="59" t="str">
        <x:f>IF(F112="","",F112-E112)</x:f>
      </x:c>
      <x:c r="H112" s="59" t="str">
        <x:f>IF(G112="","",ABS(G112))</x:f>
      </x:c>
      <x:c r="I112" s="60" t="str">
        <x:f>IF(G112="","",ABS(G112/E112)*100)</x:f>
      </x:c>
      <x:c r="J112" s="33" t="str">
        <x:v>Sillago</x:v>
      </x:c>
      <x:c r="K112" s="33" t="str">
        <x:v>Sillaginidae</x:v>
      </x:c>
      <x:c r="L112" s="33" t="str">
        <x:v>Other demersal fishes</x:v>
      </x:c>
      <x:c r="M112" s="33" t="str">
        <x:v>Teleostei</x:v>
      </x:c>
    </x:row>
    <x:row r="113">
      <x:c r="A113" s="33" t="str">
        <x:v>Genus</x:v>
      </x:c>
      <x:c r="B113" s="33" t="str">
        <x:v>Species</x:v>
      </x:c>
      <x:c r="C113" s="33" t="str">
        <x:v>Metapenaeus macleayi</x:v>
      </x:c>
      <x:c r="D113" s="33" t="str">
        <x:v>Metapenaeus macleayi</x:v>
      </x:c>
      <x:c r="E113" s="59" t="n">
        <x:v>3.84</x:v>
      </x:c>
      <x:c r="F113" s="59"/>
      <x:c r="G113" s="59" t="str">
        <x:f>IF(F113="","",F113-E113)</x:f>
      </x:c>
      <x:c r="H113" s="59" t="str">
        <x:f>IF(G113="","",ABS(G113))</x:f>
      </x:c>
      <x:c r="I113" s="60" t="str">
        <x:f>IF(G113="","",ABS(G113/E113)*100)</x:f>
      </x:c>
      <x:c r="J113" s="33" t="str">
        <x:v>Metapenaeus</x:v>
      </x:c>
      <x:c r="K113" s="33" t="str">
        <x:v>Penaeidae</x:v>
      </x:c>
      <x:c r="L113" s="33" t="str">
        <x:v>Decapods (ecology unspecified)</x:v>
      </x:c>
      <x:c r="M113" s="33" t="str">
        <x:v>Crustacea</x:v>
      </x:c>
    </x:row>
    <x:row r="114">
      <x:c r="A114" s="33" t="str">
        <x:v>Genus</x:v>
      </x:c>
      <x:c r="B114" s="33" t="str">
        <x:v>Species</x:v>
      </x:c>
      <x:c r="C114" s="33" t="str">
        <x:v>Euphausia superba</x:v>
      </x:c>
      <x:c r="D114" s="33" t="str">
        <x:v>Euphausia superba</x:v>
      </x:c>
      <x:c r="E114" s="59" t="n">
        <x:v>3.73</x:v>
      </x:c>
      <x:c r="F114" s="59"/>
      <x:c r="G114" s="59" t="str">
        <x:f>IF(F114="","",F114-E114)</x:f>
      </x:c>
      <x:c r="H114" s="59" t="str">
        <x:f>IF(G114="","",ABS(G114))</x:f>
      </x:c>
      <x:c r="I114" s="60" t="str">
        <x:f>IF(G114="","",ABS(G114/E114)*100)</x:f>
      </x:c>
      <x:c r="J114" s="33" t="str">
        <x:v>Euphausia</x:v>
      </x:c>
      <x:c r="K114" s="33" t="str">
        <x:v>Euphausiidae</x:v>
      </x:c>
      <x:c r="L114" s="33" t="str">
        <x:v>Pelagic planktonic euphausiids</x:v>
      </x:c>
      <x:c r="M114" s="33" t="str">
        <x:v>Crustacea</x:v>
      </x:c>
    </x:row>
    <x:row r="115">
      <x:c r="A115" s="33" t="str">
        <x:v>Genus</x:v>
      </x:c>
      <x:c r="B115" s="33" t="str">
        <x:v>Species</x:v>
      </x:c>
      <x:c r="C115" s="33" t="str">
        <x:v>Dosidicus gigas</x:v>
      </x:c>
      <x:c r="D115" s="33" t="str">
        <x:v>Dosidicus gigas</x:v>
      </x:c>
      <x:c r="E115" s="59" t="n">
        <x:v>4.22</x:v>
      </x:c>
      <x:c r="F115" s="59"/>
      <x:c r="G115" s="59" t="str">
        <x:f>IF(F115="","",F115-E115)</x:f>
      </x:c>
      <x:c r="H115" s="59" t="str">
        <x:f>IF(G115="","",ABS(G115))</x:f>
      </x:c>
      <x:c r="I115" s="60" t="str">
        <x:f>IF(G115="","",ABS(G115/E115)*100)</x:f>
      </x:c>
      <x:c r="J115" s="33" t="str">
        <x:v>Dosidicus</x:v>
      </x:c>
      <x:c r="K115" s="33" t="str">
        <x:v>Ommastrephidae</x:v>
      </x:c>
      <x:c r="L115" s="33" t="str">
        <x:v>Pelagic squids</x:v>
      </x:c>
      <x:c r="M115" s="33" t="str">
        <x:v>Cephalopoda</x:v>
      </x:c>
    </x:row>
    <x:row r="116">
      <x:c r="A116" s="33" t="str">
        <x:v>Genus</x:v>
      </x:c>
      <x:c r="B116" s="33" t="str">
        <x:v>Species</x:v>
      </x:c>
      <x:c r="C116" s="33" t="str">
        <x:v>Symplectoteuthis ovalaniensis</x:v>
      </x:c>
      <x:c r="D116" s="33" t="str">
        <x:v>Symplectoteuthis ovalaniensis</x:v>
      </x:c>
      <x:c r="E116" s="59" t="n">
        <x:v>5.59</x:v>
      </x:c>
      <x:c r="F116" s="59"/>
      <x:c r="G116" s="59" t="str">
        <x:f>IF(F116="","",F116-E116)</x:f>
      </x:c>
      <x:c r="H116" s="59" t="str">
        <x:f>IF(G116="","",ABS(G116))</x:f>
      </x:c>
      <x:c r="I116" s="60" t="str">
        <x:f>IF(G116="","",ABS(G116/E116)*100)</x:f>
      </x:c>
      <x:c r="J116" s="33" t="str">
        <x:v>Symplectoteuthis</x:v>
      </x:c>
      <x:c r="K116" s="33" t="str">
        <x:v>Ommastrephidae</x:v>
      </x:c>
      <x:c r="L116" s="33" t="str">
        <x:v>Pelagic squids</x:v>
      </x:c>
      <x:c r="M116" s="33" t="str">
        <x:v>Cephalopoda</x:v>
      </x:c>
    </x:row>
    <x:row r="117">
      <x:c r="A117" s="33" t="str">
        <x:v>Genus</x:v>
      </x:c>
      <x:c r="B117" s="33" t="str">
        <x:v>Species</x:v>
      </x:c>
      <x:c r="C117" s="33" t="str">
        <x:v>Clinocardium ciliatum</x:v>
      </x:c>
      <x:c r="D117" s="33" t="str">
        <x:v>Clinocardium ciliatum</x:v>
      </x:c>
      <x:c r="E117" s="59" t="n">
        <x:v>1.57</x:v>
      </x:c>
      <x:c r="F117" s="59"/>
      <x:c r="G117" s="59" t="str">
        <x:f>IF(F117="","",F117-E117)</x:f>
      </x:c>
      <x:c r="H117" s="59" t="str">
        <x:f>IF(G117="","",ABS(G117))</x:f>
      </x:c>
      <x:c r="I117" s="60" t="str">
        <x:f>IF(G117="","",ABS(G117/E117)*100)</x:f>
      </x:c>
      <x:c r="J117" s="33" t="str">
        <x:v>Clinocardium</x:v>
      </x:c>
      <x:c r="K117" s="33" t="str">
        <x:v>Cardiidae</x:v>
      </x:c>
      <x:c r="L117" s="33" t="str">
        <x:v>Benthic bivalves</x:v>
      </x:c>
      <x:c r="M117" s="33" t="str">
        <x:v>Mollusca (non-cephalopods)</x:v>
      </x:c>
    </x:row>
    <x:row r="118">
      <x:c r="A118" s="33" t="str">
        <x:v>Genus</x:v>
      </x:c>
      <x:c r="B118" s="33" t="str">
        <x:v>Species</x:v>
      </x:c>
      <x:c r="C118" s="33" t="str">
        <x:v>Yoldia sapotilla</x:v>
      </x:c>
      <x:c r="D118" s="33" t="str">
        <x:v>Yoldia sapotilla</x:v>
      </x:c>
      <x:c r="E118" s="59" t="n">
        <x:v>2.88</x:v>
      </x:c>
      <x:c r="F118" s="59" t="n">
        <x:v>2.13</x:v>
      </x:c>
      <x:c r="G118" s="59" t="n">
        <x:f>IF(F118="","",F118-E118)</x:f>
        <x:v>-0.75</x:v>
      </x:c>
      <x:c r="H118" s="59" t="n">
        <x:f>IF(G118="","",ABS(G118))</x:f>
        <x:v>0.75</x:v>
      </x:c>
      <x:c r="I118" s="60" t="n">
        <x:f>IF(G118="","",ABS(G118/E118)*100)</x:f>
        <x:v>26.041666666666668</x:v>
      </x:c>
      <x:c r="J118" s="33" t="str">
        <x:v>Yoldia</x:v>
      </x:c>
      <x:c r="K118" s="33" t="str">
        <x:v>Yoldiidae</x:v>
      </x:c>
      <x:c r="L118" s="33" t="str">
        <x:v>Benthic bivalves</x:v>
      </x:c>
      <x:c r="M118" s="33" t="str">
        <x:v>Mollusca (non-cephalopods)</x:v>
      </x:c>
    </x:row>
    <x:row r="119">
      <x:c r="A119" s="33" t="str">
        <x:v>Genus</x:v>
      </x:c>
      <x:c r="B119" s="33" t="str">
        <x:v>Species</x:v>
      </x:c>
      <x:c r="C119" s="33" t="str">
        <x:v>Yoldia thraciaeformis</x:v>
      </x:c>
      <x:c r="D119" s="33" t="str">
        <x:v>Yoldia thraciaeformis</x:v>
      </x:c>
      <x:c r="E119" s="59" t="n">
        <x:v>2.13</x:v>
      </x:c>
      <x:c r="F119" s="59" t="n">
        <x:v>2.88</x:v>
      </x:c>
      <x:c r="G119" s="59" t="n">
        <x:f>IF(F119="","",F119-E119)</x:f>
        <x:v>0.75</x:v>
      </x:c>
      <x:c r="H119" s="59" t="n">
        <x:f>IF(G119="","",ABS(G119))</x:f>
        <x:v>0.75</x:v>
      </x:c>
      <x:c r="I119" s="60" t="n">
        <x:f>IF(G119="","",ABS(G119/E119)*100)</x:f>
        <x:v>35.21126760563381</x:v>
      </x:c>
      <x:c r="J119" s="33" t="str">
        <x:v>Yoldia</x:v>
      </x:c>
      <x:c r="K119" s="33" t="str">
        <x:v>Yoldiidae</x:v>
      </x:c>
      <x:c r="L119" s="33" t="str">
        <x:v>Benthic bivalves</x:v>
      </x:c>
      <x:c r="M119" s="33" t="str">
        <x:v>Mollusca (non-cephalopods)</x:v>
      </x:c>
    </x:row>
    <x:row r="120">
      <x:c r="A120" s="33" t="str">
        <x:v>Genus</x:v>
      </x:c>
      <x:c r="B120" s="33" t="str">
        <x:v>Species</x:v>
      </x:c>
      <x:c r="C120" s="33" t="str">
        <x:v>Aphrodita hastata</x:v>
      </x:c>
      <x:c r="D120" s="33" t="str">
        <x:v>Aphrodita hastata</x:v>
      </x:c>
      <x:c r="E120" s="59" t="n">
        <x:v>2.03</x:v>
      </x:c>
      <x:c r="F120" s="59"/>
      <x:c r="G120" s="59" t="str">
        <x:f>IF(F120="","",F120-E120)</x:f>
      </x:c>
      <x:c r="H120" s="59" t="str">
        <x:f>IF(G120="","",ABS(G120))</x:f>
      </x:c>
      <x:c r="I120" s="60" t="str">
        <x:f>IF(G120="","",ABS(G120/E120)*100)</x:f>
      </x:c>
      <x:c r="J120" s="33" t="str">
        <x:v>Aphrodita</x:v>
      </x:c>
      <x:c r="K120" s="33" t="str">
        <x:v>Aphroditidae</x:v>
      </x:c>
      <x:c r="L120" s="33" t="str">
        <x:v>Other benthic polychaetes</x:v>
      </x:c>
      <x:c r="M120" s="33" t="str">
        <x:v>Annelida</x:v>
      </x:c>
    </x:row>
    <x:row r="121">
      <x:c r="A121" s="33" t="str">
        <x:v>Genus</x:v>
      </x:c>
      <x:c r="B121" s="33" t="str">
        <x:v>Species</x:v>
      </x:c>
      <x:c r="C121" s="33" t="str">
        <x:v>Luabrinereis fragilis</x:v>
      </x:c>
      <x:c r="D121" s="33" t="str">
        <x:v>Luabrinereis fragilis</x:v>
      </x:c>
      <x:c r="E121" s="59" t="n">
        <x:v>4.43</x:v>
      </x:c>
      <x:c r="F121" s="59"/>
      <x:c r="G121" s="59" t="str">
        <x:f>IF(F121="","",F121-E121)</x:f>
      </x:c>
      <x:c r="H121" s="59" t="str">
        <x:f>IF(G121="","",ABS(G121))</x:f>
      </x:c>
      <x:c r="I121" s="60" t="str">
        <x:f>IF(G121="","",ABS(G121/E121)*100)</x:f>
      </x:c>
      <x:c r="J121" s="33" t="str">
        <x:v>Luabrinereis</x:v>
      </x:c>
      <x:c r="K121" s="33"/>
      <x:c r="L121" s="33" t="str">
        <x:v>Other benthic polychaetes</x:v>
      </x:c>
      <x:c r="M121" s="33" t="str">
        <x:v>Annelida</x:v>
      </x:c>
    </x:row>
    <x:row r="122">
      <x:c r="A122" s="33" t="str">
        <x:v>Genus</x:v>
      </x:c>
      <x:c r="B122" s="33" t="str">
        <x:v>Species</x:v>
      </x:c>
      <x:c r="C122" s="33" t="str">
        <x:v>Nethys ciliata</x:v>
      </x:c>
      <x:c r="D122" s="33" t="str">
        <x:v>Nethys ciliata</x:v>
      </x:c>
      <x:c r="E122" s="59" t="n">
        <x:v>3.13</x:v>
      </x:c>
      <x:c r="F122" s="59"/>
      <x:c r="G122" s="59" t="str">
        <x:f>IF(F122="","",F122-E122)</x:f>
      </x:c>
      <x:c r="H122" s="59" t="str">
        <x:f>IF(G122="","",ABS(G122))</x:f>
      </x:c>
      <x:c r="I122" s="60" t="str">
        <x:f>IF(G122="","",ABS(G122/E122)*100)</x:f>
      </x:c>
      <x:c r="J122" s="33" t="str">
        <x:v>Nethys</x:v>
      </x:c>
      <x:c r="K122" s="33"/>
      <x:c r="L122" s="33" t="str">
        <x:v>Other benthic polychaetes</x:v>
      </x:c>
      <x:c r="M122" s="33" t="str">
        <x:v>Annelida</x:v>
      </x:c>
    </x:row>
    <x:row r="123">
      <x:c r="A123" s="33" t="str">
        <x:v>Genus</x:v>
      </x:c>
      <x:c r="B123" s="33" t="str">
        <x:v>Species</x:v>
      </x:c>
      <x:c r="C123" s="33" t="str">
        <x:v>Mallotus villosus</x:v>
      </x:c>
      <x:c r="D123" s="33" t="str">
        <x:v>Mallotus villosus</x:v>
      </x:c>
      <x:c r="E123" s="59" t="n">
        <x:v>7.03</x:v>
      </x:c>
      <x:c r="F123" s="59"/>
      <x:c r="G123" s="59" t="str">
        <x:f>IF(F123="","",F123-E123)</x:f>
      </x:c>
      <x:c r="H123" s="59" t="str">
        <x:f>IF(G123="","",ABS(G123))</x:f>
      </x:c>
      <x:c r="I123" s="60" t="str">
        <x:f>IF(G123="","",ABS(G123/E123)*100)</x:f>
      </x:c>
      <x:c r="J123" s="33" t="str">
        <x:v>Mallotus</x:v>
      </x:c>
      <x:c r="K123" s="33" t="str">
        <x:v>Osmeridae</x:v>
      </x:c>
      <x:c r="L123" s="33" t="str">
        <x:v>Small pelagic forage fishes</x:v>
      </x:c>
      <x:c r="M123" s="33" t="str">
        <x:v>Teleostei</x:v>
      </x:c>
    </x:row>
    <x:row r="124">
      <x:c r="A124" s="33" t="str">
        <x:v>Genus</x:v>
      </x:c>
      <x:c r="B124" s="33" t="str">
        <x:v>Species</x:v>
      </x:c>
      <x:c r="C124" s="33" t="str">
        <x:v>Thaleichthys pacificus</x:v>
      </x:c>
      <x:c r="D124" s="33" t="str">
        <x:v>Thaleichthys pacificus</x:v>
      </x:c>
      <x:c r="E124" s="59" t="n">
        <x:v>11.05</x:v>
      </x:c>
      <x:c r="F124" s="59"/>
      <x:c r="G124" s="59" t="str">
        <x:f>IF(F124="","",F124-E124)</x:f>
      </x:c>
      <x:c r="H124" s="59" t="str">
        <x:f>IF(G124="","",ABS(G124))</x:f>
      </x:c>
      <x:c r="I124" s="60" t="str">
        <x:f>IF(G124="","",ABS(G124/E124)*100)</x:f>
      </x:c>
      <x:c r="J124" s="33" t="str">
        <x:v>Thaleichthys</x:v>
      </x:c>
      <x:c r="K124" s="33" t="str">
        <x:v>Osmeridae</x:v>
      </x:c>
      <x:c r="L124" s="33" t="str">
        <x:v>Small pelagic forage fishes</x:v>
      </x:c>
      <x:c r="M124" s="33" t="str">
        <x:v>Teleostei</x:v>
      </x:c>
    </x:row>
    <x:row r="125">
      <x:c r="A125" s="33" t="str">
        <x:v>Genus</x:v>
      </x:c>
      <x:c r="B125" s="33" t="str">
        <x:v>Species</x:v>
      </x:c>
      <x:c r="C125" s="33" t="str">
        <x:v>Ammodytes hexapterus</x:v>
      </x:c>
      <x:c r="D125" s="33" t="str">
        <x:v>Ammodytes hexapterus</x:v>
      </x:c>
      <x:c r="E125" s="59" t="n">
        <x:v>4.95</x:v>
      </x:c>
      <x:c r="F125" s="59" t="n">
        <x:v>5.9</x:v>
      </x:c>
      <x:c r="G125" s="59" t="n">
        <x:f>IF(F125="","",F125-E125)</x:f>
        <x:v>0.9500000000000002</x:v>
      </x:c>
      <x:c r="H125" s="59" t="n">
        <x:f>IF(G125="","",ABS(G125))</x:f>
        <x:v>0.9500000000000002</x:v>
      </x:c>
      <x:c r="I125" s="60" t="n">
        <x:f>IF(G125="","",ABS(G125/E125)*100)</x:f>
        <x:v>19.191919191919197</x:v>
      </x:c>
      <x:c r="J125" s="33" t="str">
        <x:v>Ammodytes</x:v>
      </x:c>
      <x:c r="K125" s="33" t="str">
        <x:v>Ammodytidae</x:v>
      </x:c>
      <x:c r="L125" s="33" t="str">
        <x:v>Small pelagic forage fishes</x:v>
      </x:c>
      <x:c r="M125" s="33" t="str">
        <x:v>Teleostei</x:v>
      </x:c>
    </x:row>
    <x:row r="126">
      <x:c r="A126" s="33" t="str">
        <x:v>Genus</x:v>
      </x:c>
      <x:c r="B126" s="33" t="str">
        <x:v>Species</x:v>
      </x:c>
      <x:c r="C126" s="33" t="str">
        <x:v>Cololabis saira</x:v>
      </x:c>
      <x:c r="D126" s="33" t="str">
        <x:v>Cololabis saira</x:v>
      </x:c>
      <x:c r="E126" s="59" t="n">
        <x:v>7</x:v>
      </x:c>
      <x:c r="F126" s="59"/>
      <x:c r="G126" s="59" t="str">
        <x:f>IF(F126="","",F126-E126)</x:f>
      </x:c>
      <x:c r="H126" s="59" t="str">
        <x:f>IF(G126="","",ABS(G126))</x:f>
      </x:c>
      <x:c r="I126" s="60" t="str">
        <x:f>IF(G126="","",ABS(G126/E126)*100)</x:f>
      </x:c>
      <x:c r="J126" s="33" t="str">
        <x:v>Cololabis</x:v>
      </x:c>
      <x:c r="K126" s="33" t="str">
        <x:v>Scomberesocidae</x:v>
      </x:c>
      <x:c r="L126" s="33" t="str">
        <x:v>Small pelagic forage fishes</x:v>
      </x:c>
      <x:c r="M126" s="33" t="str">
        <x:v>Teleostei</x:v>
      </x:c>
    </x:row>
    <x:row r="127">
      <x:c r="A127" s="33" t="str">
        <x:v>Genus</x:v>
      </x:c>
      <x:c r="B127" s="33" t="str">
        <x:v>Species</x:v>
      </x:c>
      <x:c r="C127" s="33" t="str">
        <x:v>Clupea pallasii</x:v>
      </x:c>
      <x:c r="D127" s="33" t="str">
        <x:v>Clupea pallasii</x:v>
      </x:c>
      <x:c r="E127" s="59" t="n">
        <x:v>7</x:v>
      </x:c>
      <x:c r="F127" s="59" t="n">
        <x:v>7.955</x:v>
      </x:c>
      <x:c r="G127" s="59" t="n">
        <x:f>IF(F127="","",F127-E127)</x:f>
        <x:v>0.9550000000000001</x:v>
      </x:c>
      <x:c r="H127" s="59" t="n">
        <x:f>IF(G127="","",ABS(G127))</x:f>
        <x:v>0.9550000000000001</x:v>
      </x:c>
      <x:c r="I127" s="60" t="n">
        <x:f>IF(G127="","",ABS(G127/E127)*100)</x:f>
        <x:v>13.642857142857142</x:v>
      </x:c>
      <x:c r="J127" s="33" t="str">
        <x:v>Clupea</x:v>
      </x:c>
      <x:c r="K127" s="33" t="str">
        <x:v>Clupeidae</x:v>
      </x:c>
      <x:c r="L127" s="33" t="str">
        <x:v>Small pelagic forage fishes</x:v>
      </x:c>
      <x:c r="M127" s="33" t="str">
        <x:v>Teleostei</x:v>
      </x:c>
    </x:row>
    <x:row r="128">
      <x:c r="A128" s="33" t="str">
        <x:v>Genus</x:v>
      </x:c>
      <x:c r="B128" s="33" t="str">
        <x:v>Species</x:v>
      </x:c>
      <x:c r="C128" s="33" t="str">
        <x:v>Pleurogrammus monopterygius</x:v>
      </x:c>
      <x:c r="D128" s="33" t="str">
        <x:v>Pleurogrammus monopterygius</x:v>
      </x:c>
      <x:c r="E128" s="59" t="n">
        <x:v>4.02</x:v>
      </x:c>
      <x:c r="F128" s="59"/>
      <x:c r="G128" s="59" t="str">
        <x:f>IF(F128="","",F128-E128)</x:f>
      </x:c>
      <x:c r="H128" s="59" t="str">
        <x:f>IF(G128="","",ABS(G128))</x:f>
      </x:c>
      <x:c r="I128" s="60" t="str">
        <x:f>IF(G128="","",ABS(G128/E128)*100)</x:f>
      </x:c>
      <x:c r="J128" s="33" t="str">
        <x:v>Pleurogrammus</x:v>
      </x:c>
      <x:c r="K128" s="33" t="str">
        <x:v>Hexagrammidae</x:v>
      </x:c>
      <x:c r="L128" s="33" t="str">
        <x:v>Other demersal fishes</x:v>
      </x:c>
      <x:c r="M128" s="33" t="str">
        <x:v>Teleostei</x:v>
      </x:c>
    </x:row>
    <x:row r="129">
      <x:c r="A129" s="33" t="str">
        <x:v>Genus</x:v>
      </x:c>
      <x:c r="B129" s="33" t="str">
        <x:v>Species</x:v>
      </x:c>
      <x:c r="C129" s="33" t="str">
        <x:v>Ophiodon elongatus</x:v>
      </x:c>
      <x:c r="D129" s="33" t="str">
        <x:v>Ophiodon elongatus</x:v>
      </x:c>
      <x:c r="E129" s="59" t="n">
        <x:v>3.98</x:v>
      </x:c>
      <x:c r="F129" s="59"/>
      <x:c r="G129" s="59" t="str">
        <x:f>IF(F129="","",F129-E129)</x:f>
      </x:c>
      <x:c r="H129" s="59" t="str">
        <x:f>IF(G129="","",ABS(G129))</x:f>
      </x:c>
      <x:c r="I129" s="60" t="str">
        <x:f>IF(G129="","",ABS(G129/E129)*100)</x:f>
      </x:c>
      <x:c r="J129" s="33" t="str">
        <x:v>Ophiodon</x:v>
      </x:c>
      <x:c r="K129" s="33" t="str">
        <x:v>Hexagrammidae</x:v>
      </x:c>
      <x:c r="L129" s="33" t="str">
        <x:v>Other demersal fishes</x:v>
      </x:c>
      <x:c r="M129" s="33" t="str">
        <x:v>Teleostei</x:v>
      </x:c>
    </x:row>
    <x:row r="130">
      <x:c r="A130" s="33" t="str">
        <x:v>Family</x:v>
      </x:c>
      <x:c r="B130" s="33" t="str">
        <x:v>Genus</x:v>
      </x:c>
      <x:c r="C130" s="33" t="str">
        <x:v>Aurelia</x:v>
      </x:c>
      <x:c r="D130" s="33" t="str">
        <x:v>Aurelia aurita</x:v>
      </x:c>
      <x:c r="E130" s="59" t="n">
        <x:v>0.7</x:v>
      </x:c>
      <x:c r="F130" s="59"/>
      <x:c r="G130" s="59" t="str">
        <x:f>IF(F130="","",F130-E130)</x:f>
      </x:c>
      <x:c r="H130" s="59" t="str">
        <x:f>IF(G130="","",ABS(G130))</x:f>
      </x:c>
      <x:c r="I130" s="60" t="str">
        <x:f>IF(G130="","",ABS(G130/E130)*100)</x:f>
      </x:c>
      <x:c r="J130" s="33" t="str">
        <x:v>Aurelia</x:v>
      </x:c>
      <x:c r="K130" s="33" t="str">
        <x:v>Ulmaridae</x:v>
      </x:c>
      <x:c r="L130" s="33" t="str">
        <x:v>Gelatinous zooplankton - cnidarians</x:v>
      </x:c>
      <x:c r="M130" s="33" t="str">
        <x:v>Cnidaria</x:v>
      </x:c>
    </x:row>
    <x:row r="131">
      <x:c r="A131" s="33" t="str">
        <x:v>Family</x:v>
      </x:c>
      <x:c r="B131" s="33" t="str">
        <x:v>Genus</x:v>
      </x:c>
      <x:c r="C131" s="33" t="str">
        <x:v>Meganyctiphanes</x:v>
      </x:c>
      <x:c r="D131" s="33" t="str">
        <x:v>Meganyctiphanes norvegica</x:v>
      </x:c>
      <x:c r="E131" s="59" t="n">
        <x:v>3.9</x:v>
      </x:c>
      <x:c r="F131" s="59" t="n">
        <x:v>3.73</x:v>
      </x:c>
      <x:c r="G131" s="59" t="n">
        <x:f>IF(F131="","",F131-E131)</x:f>
        <x:v>-0.16999999999999993</x:v>
      </x:c>
      <x:c r="H131" s="59" t="n">
        <x:f>IF(G131="","",ABS(G131))</x:f>
        <x:v>0.16999999999999993</x:v>
      </x:c>
      <x:c r="I131" s="60" t="n">
        <x:f>IF(G131="","",ABS(G131/E131)*100)</x:f>
        <x:v>4.358974358974358</x:v>
      </x:c>
      <x:c r="J131" s="33" t="str">
        <x:v>Meganyctiphanes</x:v>
      </x:c>
      <x:c r="K131" s="33" t="str">
        <x:v>Euphausiidae</x:v>
      </x:c>
      <x:c r="L131" s="33" t="str">
        <x:v>Pelagic planktonic euphausiids</x:v>
      </x:c>
      <x:c r="M131" s="33" t="str">
        <x:v>Crustacea</x:v>
      </x:c>
    </x:row>
    <x:row r="132">
      <x:c r="A132" s="33" t="str">
        <x:v>Family</x:v>
      </x:c>
      <x:c r="B132" s="33" t="str">
        <x:v>Genus</x:v>
      </x:c>
      <x:c r="C132" s="33" t="str">
        <x:v>Acanthephyra</x:v>
      </x:c>
      <x:c r="D132" s="33" t="str">
        <x:v>Acanthephyra purpurea</x:v>
      </x:c>
      <x:c r="E132" s="59" t="n">
        <x:v>5.3</x:v>
      </x:c>
      <x:c r="F132" s="59"/>
      <x:c r="G132" s="59" t="str">
        <x:f>IF(F132="","",F132-E132)</x:f>
      </x:c>
      <x:c r="H132" s="59" t="str">
        <x:f>IF(G132="","",ABS(G132))</x:f>
      </x:c>
      <x:c r="I132" s="60" t="str">
        <x:f>IF(G132="","",ABS(G132/E132)*100)</x:f>
      </x:c>
      <x:c r="J132" s="33" t="str">
        <x:v>Acanthephyra</x:v>
      </x:c>
      <x:c r="K132" s="33" t="str">
        <x:v>Oplophoridae</x:v>
      </x:c>
      <x:c r="L132" s="33" t="str">
        <x:v>Decapods (ecology unspecified)</x:v>
      </x:c>
      <x:c r="M132" s="33" t="str">
        <x:v>Crustacea</x:v>
      </x:c>
    </x:row>
    <x:row r="133">
      <x:c r="A133" s="33" t="str">
        <x:v>Family</x:v>
      </x:c>
      <x:c r="B133" s="33" t="str">
        <x:v>Genus</x:v>
      </x:c>
      <x:c r="C133" s="33" t="str">
        <x:v>Palaemon</x:v>
      </x:c>
      <x:c r="D133" s="33" t="str">
        <x:v>Palaemon longirostris</x:v>
      </x:c>
      <x:c r="E133" s="59" t="n">
        <x:v>3.4</x:v>
      </x:c>
      <x:c r="F133" s="59"/>
      <x:c r="G133" s="59" t="str">
        <x:f>IF(F133="","",F133-E133)</x:f>
      </x:c>
      <x:c r="H133" s="59" t="str">
        <x:f>IF(G133="","",ABS(G133))</x:f>
      </x:c>
      <x:c r="I133" s="60" t="str">
        <x:f>IF(G133="","",ABS(G133/E133)*100)</x:f>
      </x:c>
      <x:c r="J133" s="33" t="str">
        <x:v>Palaemon</x:v>
      </x:c>
      <x:c r="K133" s="33" t="str">
        <x:v>Palaemonidae</x:v>
      </x:c>
      <x:c r="L133" s="33" t="str">
        <x:v>Decapods (ecology unspecified)</x:v>
      </x:c>
      <x:c r="M133" s="33" t="str">
        <x:v>Crustacea</x:v>
      </x:c>
    </x:row>
    <x:row r="134">
      <x:c r="A134" s="33" t="str">
        <x:v>Family</x:v>
      </x:c>
      <x:c r="B134" s="33" t="str">
        <x:v>Genus</x:v>
      </x:c>
      <x:c r="C134" s="33" t="str">
        <x:v>Pasiphaea</x:v>
      </x:c>
      <x:c r="D134" s="33" t="str">
        <x:v>Pasiphaea sivado</x:v>
      </x:c>
      <x:c r="E134" s="59" t="n">
        <x:v>4.1</x:v>
      </x:c>
      <x:c r="F134" s="59"/>
      <x:c r="G134" s="59" t="str">
        <x:f>IF(F134="","",F134-E134)</x:f>
      </x:c>
      <x:c r="H134" s="59" t="str">
        <x:f>IF(G134="","",ABS(G134))</x:f>
      </x:c>
      <x:c r="I134" s="60" t="str">
        <x:f>IF(G134="","",ABS(G134/E134)*100)</x:f>
      </x:c>
      <x:c r="J134" s="33" t="str">
        <x:v>Pasiphaea</x:v>
      </x:c>
      <x:c r="K134" s="33" t="str">
        <x:v>Pasiphaeidae</x:v>
      </x:c>
      <x:c r="L134" s="33" t="str">
        <x:v>Decapods (ecology unspecified)</x:v>
      </x:c>
      <x:c r="M134" s="33" t="str">
        <x:v>Crustacea</x:v>
      </x:c>
    </x:row>
    <x:row r="135">
      <x:c r="A135" s="33" t="str">
        <x:v>Family</x:v>
      </x:c>
      <x:c r="B135" s="33" t="str">
        <x:v>Genus</x:v>
      </x:c>
      <x:c r="C135" s="33" t="str">
        <x:v>Pachygrapsus</x:v>
      </x:c>
      <x:c r="D135" s="33" t="str">
        <x:v>Pachygrapsus marmoratus</x:v>
      </x:c>
      <x:c r="E135" s="59" t="n">
        <x:v>5.8</x:v>
      </x:c>
      <x:c r="F135" s="59"/>
      <x:c r="G135" s="59" t="str">
        <x:f>IF(F135="","",F135-E135)</x:f>
      </x:c>
      <x:c r="H135" s="59" t="str">
        <x:f>IF(G135="","",ABS(G135))</x:f>
      </x:c>
      <x:c r="I135" s="60" t="str">
        <x:f>IF(G135="","",ABS(G135/E135)*100)</x:f>
      </x:c>
      <x:c r="J135" s="33" t="str">
        <x:v>Pachygrapsus</x:v>
      </x:c>
      <x:c r="K135" s="33" t="str">
        <x:v>Grapsidae</x:v>
      </x:c>
      <x:c r="L135" s="33" t="str">
        <x:v>Benthic decapods</x:v>
      </x:c>
      <x:c r="M135" s="33" t="str">
        <x:v>Crustacea</x:v>
      </x:c>
    </x:row>
    <x:row r="136">
      <x:c r="A136" s="33" t="str">
        <x:v>Family</x:v>
      </x:c>
      <x:c r="B136" s="33" t="str">
        <x:v>Genus</x:v>
      </x:c>
      <x:c r="C136" s="33" t="str">
        <x:v>Polybius</x:v>
      </x:c>
      <x:c r="D136" s="33" t="str">
        <x:v>Polybius henslowii</x:v>
      </x:c>
      <x:c r="E136" s="59" t="n">
        <x:v>4.2</x:v>
      </x:c>
      <x:c r="F136" s="59" t="n">
        <x:v>6.9</x:v>
      </x:c>
      <x:c r="G136" s="59" t="n">
        <x:f>IF(F136="","",F136-E136)</x:f>
        <x:v>2.7</x:v>
      </x:c>
      <x:c r="H136" s="59" t="n">
        <x:f>IF(G136="","",ABS(G136))</x:f>
        <x:v>2.7</x:v>
      </x:c>
      <x:c r="I136" s="60" t="n">
        <x:f>IF(G136="","",ABS(G136/E136)*100)</x:f>
        <x:v>64.28571428571429</x:v>
      </x:c>
      <x:c r="J136" s="33" t="str">
        <x:v>Polybius</x:v>
      </x:c>
      <x:c r="K136" s="33" t="str">
        <x:v>Portunidae</x:v>
      </x:c>
      <x:c r="L136" s="33" t="str">
        <x:v>Benthic decapods</x:v>
      </x:c>
      <x:c r="M136" s="33" t="str">
        <x:v>Crustacea</x:v>
      </x:c>
    </x:row>
    <x:row r="137">
      <x:c r="A137" s="33" t="str">
        <x:v>Family</x:v>
      </x:c>
      <x:c r="B137" s="33" t="str">
        <x:v>Genus</x:v>
      </x:c>
      <x:c r="C137" s="33" t="str">
        <x:v>Necora</x:v>
      </x:c>
      <x:c r="D137" s="33" t="str">
        <x:v>Necora puber</x:v>
      </x:c>
      <x:c r="E137" s="59" t="n">
        <x:v>6.9</x:v>
      </x:c>
      <x:c r="F137" s="59" t="n">
        <x:v>4.2</x:v>
      </x:c>
      <x:c r="G137" s="59" t="n">
        <x:f>IF(F137="","",F137-E137)</x:f>
        <x:v>-2.7</x:v>
      </x:c>
      <x:c r="H137" s="59" t="n">
        <x:f>IF(G137="","",ABS(G137))</x:f>
        <x:v>2.7</x:v>
      </x:c>
      <x:c r="I137" s="60" t="n">
        <x:f>IF(G137="","",ABS(G137/E137)*100)</x:f>
        <x:v>39.130434782608695</x:v>
      </x:c>
      <x:c r="J137" s="33" t="str">
        <x:v>Necora</x:v>
      </x:c>
      <x:c r="K137" s="33" t="str">
        <x:v>Portunidae</x:v>
      </x:c>
      <x:c r="L137" s="33" t="str">
        <x:v>Benthic decapods</x:v>
      </x:c>
      <x:c r="M137" s="33" t="str">
        <x:v>Crustacea</x:v>
      </x:c>
    </x:row>
    <x:row r="138">
      <x:c r="A138" s="33" t="str">
        <x:v>Family</x:v>
      </x:c>
      <x:c r="B138" s="33" t="str">
        <x:v>Genus</x:v>
      </x:c>
      <x:c r="C138" s="33" t="str">
        <x:v>Loligo</x:v>
      </x:c>
      <x:c r="D138" s="33" t="str">
        <x:v>Loligo forbesi</x:v>
      </x:c>
      <x:c r="E138" s="59" t="n">
        <x:v>4.6</x:v>
      </x:c>
      <x:c r="F138" s="59" t="n">
        <x:v>4.85</x:v>
      </x:c>
      <x:c r="G138" s="59" t="n">
        <x:f>IF(F138="","",F138-E138)</x:f>
        <x:v>0.25</x:v>
      </x:c>
      <x:c r="H138" s="59" t="n">
        <x:f>IF(G138="","",ABS(G138))</x:f>
        <x:v>0.25</x:v>
      </x:c>
      <x:c r="I138" s="60" t="n">
        <x:f>IF(G138="","",ABS(G138/E138)*100)</x:f>
        <x:v>5.434782608695652</x:v>
      </x:c>
      <x:c r="J138" s="33" t="str">
        <x:v>Loligo</x:v>
      </x:c>
      <x:c r="K138" s="33" t="str">
        <x:v>Loliginidae</x:v>
      </x:c>
      <x:c r="L138" s="33" t="str">
        <x:v>Pelagic squids</x:v>
      </x:c>
      <x:c r="M138" s="33" t="str">
        <x:v>Cephalopoda</x:v>
      </x:c>
    </x:row>
    <x:row r="139">
      <x:c r="A139" s="33" t="str">
        <x:v>Family</x:v>
      </x:c>
      <x:c r="B139" s="33" t="str">
        <x:v>Genus</x:v>
      </x:c>
      <x:c r="C139" s="33" t="str">
        <x:v>Loligo</x:v>
      </x:c>
      <x:c r="D139" s="33" t="str">
        <x:v>Loligo vulgaris</x:v>
      </x:c>
      <x:c r="E139" s="59" t="n">
        <x:v>4.8</x:v>
      </x:c>
      <x:c r="F139" s="59" t="n">
        <x:v>4.85</x:v>
      </x:c>
      <x:c r="G139" s="59" t="n">
        <x:f>IF(F139="","",F139-E139)</x:f>
        <x:v>0.04999999999999982</x:v>
      </x:c>
      <x:c r="H139" s="59" t="n">
        <x:f>IF(G139="","",ABS(G139))</x:f>
        <x:v>0.04999999999999982</x:v>
      </x:c>
      <x:c r="I139" s="60" t="n">
        <x:f>IF(G139="","",ABS(G139/E139)*100)</x:f>
        <x:v>1.041666666666663</x:v>
      </x:c>
      <x:c r="J139" s="33" t="str">
        <x:v>Loligo</x:v>
      </x:c>
      <x:c r="K139" s="33" t="str">
        <x:v>Loliginidae</x:v>
      </x:c>
      <x:c r="L139" s="33" t="str">
        <x:v>Pelagic squids</x:v>
      </x:c>
      <x:c r="M139" s="33" t="str">
        <x:v>Cephalopoda</x:v>
      </x:c>
    </x:row>
    <x:row r="140">
      <x:c r="A140" s="33" t="str">
        <x:v>Family</x:v>
      </x:c>
      <x:c r="B140" s="33" t="str">
        <x:v>Genus</x:v>
      </x:c>
      <x:c r="C140" s="33" t="str">
        <x:v>Illex</x:v>
      </x:c>
      <x:c r="D140" s="33" t="str">
        <x:v>Illex coindeti</x:v>
      </x:c>
      <x:c r="E140" s="59" t="n">
        <x:v>4.3</x:v>
      </x:c>
      <x:c r="F140" s="59" t="n">
        <x:v>4.4</x:v>
      </x:c>
      <x:c r="G140" s="59" t="n">
        <x:f>IF(F140="","",F140-E140)</x:f>
        <x:v>0.10000000000000053</x:v>
      </x:c>
      <x:c r="H140" s="59" t="n">
        <x:f>IF(G140="","",ABS(G140))</x:f>
        <x:v>0.10000000000000053</x:v>
      </x:c>
      <x:c r="I140" s="60" t="n">
        <x:f>IF(G140="","",ABS(G140/E140)*100)</x:f>
        <x:v>2.32558139534885</x:v>
      </x:c>
      <x:c r="J140" s="33" t="str">
        <x:v>Illex</x:v>
      </x:c>
      <x:c r="K140" s="33" t="str">
        <x:v>Ommastrephidae</x:v>
      </x:c>
      <x:c r="L140" s="33" t="str">
        <x:v>Pelagic squids</x:v>
      </x:c>
      <x:c r="M140" s="33" t="str">
        <x:v>Cephalopoda</x:v>
      </x:c>
    </x:row>
    <x:row r="141">
      <x:c r="A141" s="33" t="str">
        <x:v>Family</x:v>
      </x:c>
      <x:c r="B141" s="33" t="str">
        <x:v>Genus</x:v>
      </x:c>
      <x:c r="C141" s="33" t="str">
        <x:v>Todaropsis</x:v>
      </x:c>
      <x:c r="D141" s="33" t="str">
        <x:v>Todaropsis eblanae</x:v>
      </x:c>
      <x:c r="E141" s="59" t="n">
        <x:v>4.4</x:v>
      </x:c>
      <x:c r="F141" s="59" t="n">
        <x:v>4.875</x:v>
      </x:c>
      <x:c r="G141" s="59" t="n">
        <x:f>IF(F141="","",F141-E141)</x:f>
        <x:v>0.47499999999999964</x:v>
      </x:c>
      <x:c r="H141" s="59" t="n">
        <x:f>IF(G141="","",ABS(G141))</x:f>
        <x:v>0.47499999999999964</x:v>
      </x:c>
      <x:c r="I141" s="60" t="n">
        <x:f>IF(G141="","",ABS(G141/E141)*100)</x:f>
        <x:v>10.795454545454536</x:v>
      </x:c>
      <x:c r="J141" s="33" t="str">
        <x:v>Todaropsis</x:v>
      </x:c>
      <x:c r="K141" s="33" t="str">
        <x:v>Ommastrephidae</x:v>
      </x:c>
      <x:c r="L141" s="33" t="str">
        <x:v>Pelagic squids</x:v>
      </x:c>
      <x:c r="M141" s="33" t="str">
        <x:v>Cephalopoda</x:v>
      </x:c>
    </x:row>
    <x:row r="142">
      <x:c r="A142" s="33" t="str">
        <x:v>Family</x:v>
      </x:c>
      <x:c r="B142" s="33" t="str">
        <x:v>Genus</x:v>
      </x:c>
      <x:c r="C142" s="33" t="str">
        <x:v>Sepia</x:v>
      </x:c>
      <x:c r="D142" s="33" t="str">
        <x:v>Sepia officinalis</x:v>
      </x:c>
      <x:c r="E142" s="59" t="n">
        <x:v>3.8</x:v>
      </x:c>
      <x:c r="F142" s="59"/>
      <x:c r="G142" s="59" t="str">
        <x:f>IF(F142="","",F142-E142)</x:f>
      </x:c>
      <x:c r="H142" s="59" t="str">
        <x:f>IF(G142="","",ABS(G142))</x:f>
      </x:c>
      <x:c r="I142" s="60" t="str">
        <x:f>IF(G142="","",ABS(G142/E142)*100)</x:f>
      </x:c>
      <x:c r="J142" s="33" t="str">
        <x:v>Sepia</x:v>
      </x:c>
      <x:c r="K142" s="33" t="str">
        <x:v>Sepiidae</x:v>
      </x:c>
      <x:c r="L142" s="33" t="str">
        <x:v>Demersal/benthopelagic cuttlefishes</x:v>
      </x:c>
      <x:c r="M142" s="33" t="str">
        <x:v>Cephalopoda</x:v>
      </x:c>
    </x:row>
    <x:row r="143">
      <x:c r="A143" s="33" t="str">
        <x:v>Family</x:v>
      </x:c>
      <x:c r="B143" s="33" t="str">
        <x:v>Genus</x:v>
      </x:c>
      <x:c r="C143" s="33" t="str">
        <x:v>Eledone</x:v>
      </x:c>
      <x:c r="D143" s="33" t="str">
        <x:v>Eledone cirrhosa</x:v>
      </x:c>
      <x:c r="E143" s="59" t="n">
        <x:v>4.7</x:v>
      </x:c>
      <x:c r="F143" s="59"/>
      <x:c r="G143" s="59" t="str">
        <x:f>IF(F143="","",F143-E143)</x:f>
      </x:c>
      <x:c r="H143" s="59" t="str">
        <x:f>IF(G143="","",ABS(G143))</x:f>
      </x:c>
      <x:c r="I143" s="60" t="str">
        <x:f>IF(G143="","",ABS(G143/E143)*100)</x:f>
      </x:c>
      <x:c r="J143" s="33" t="str">
        <x:v>Eledone</x:v>
      </x:c>
      <x:c r="K143" s="33" t="str">
        <x:v>Octopodidae</x:v>
      </x:c>
      <x:c r="L143" s="33" t="str">
        <x:v>Benthic octopuses</x:v>
      </x:c>
      <x:c r="M143" s="33" t="str">
        <x:v>Cephalopoda</x:v>
      </x:c>
    </x:row>
    <x:row r="144">
      <x:c r="A144" s="33" t="str">
        <x:v>Family</x:v>
      </x:c>
      <x:c r="B144" s="33" t="str">
        <x:v>Genus</x:v>
      </x:c>
      <x:c r="C144" s="33" t="str">
        <x:v>Scyliorhinus</x:v>
      </x:c>
      <x:c r="D144" s="33" t="str">
        <x:v>Scyliorhinus canicula</x:v>
      </x:c>
      <x:c r="E144" s="59" t="n">
        <x:v>6.4</x:v>
      </x:c>
      <x:c r="F144" s="59"/>
      <x:c r="G144" s="59" t="str">
        <x:f>IF(F144="","",F144-E144)</x:f>
      </x:c>
      <x:c r="H144" s="59" t="str">
        <x:f>IF(G144="","",ABS(G144))</x:f>
      </x:c>
      <x:c r="I144" s="60" t="str">
        <x:f>IF(G144="","",ABS(G144/E144)*100)</x:f>
      </x:c>
      <x:c r="J144" s="33" t="str">
        <x:v>Scyliorhinus</x:v>
      </x:c>
      <x:c r="K144" s="33" t="str">
        <x:v>Scyliorhinidae</x:v>
      </x:c>
      <x:c r="L144" s="33" t="str">
        <x:v>Demersal sharks</x:v>
      </x:c>
      <x:c r="M144" s="33" t="str">
        <x:v>Chondrichthyes</x:v>
      </x:c>
    </x:row>
    <x:row r="145">
      <x:c r="A145" s="33" t="str">
        <x:v>Family</x:v>
      </x:c>
      <x:c r="B145" s="33" t="str">
        <x:v>Genus</x:v>
      </x:c>
      <x:c r="C145" s="33" t="str">
        <x:v>Leucoraja</x:v>
      </x:c>
      <x:c r="D145" s="33" t="str">
        <x:v>Leucoraja naevus</x:v>
      </x:c>
      <x:c r="E145" s="59" t="n">
        <x:v>5.7</x:v>
      </x:c>
      <x:c r="F145" s="59"/>
      <x:c r="G145" s="59" t="str">
        <x:f>IF(F145="","",F145-E145)</x:f>
      </x:c>
      <x:c r="H145" s="59" t="str">
        <x:f>IF(G145="","",ABS(G145))</x:f>
      </x:c>
      <x:c r="I145" s="60" t="str">
        <x:f>IF(G145="","",ABS(G145/E145)*100)</x:f>
      </x:c>
      <x:c r="J145" s="33" t="str">
        <x:v>Leucoraja</x:v>
      </x:c>
      <x:c r="K145" s="33" t="str">
        <x:v>Rajidae</x:v>
      </x:c>
      <x:c r="L145" s="33" t="str">
        <x:v>Demersal rays</x:v>
      </x:c>
      <x:c r="M145" s="33" t="str">
        <x:v>Chondrichthyes</x:v>
      </x:c>
    </x:row>
    <x:row r="146">
      <x:c r="A146" s="33" t="str">
        <x:v>Family</x:v>
      </x:c>
      <x:c r="B146" s="33" t="str">
        <x:v>Genus</x:v>
      </x:c>
      <x:c r="C146" s="33" t="str">
        <x:v>Chimaera</x:v>
      </x:c>
      <x:c r="D146" s="33" t="str">
        <x:v>Chimaera monstrosa</x:v>
      </x:c>
      <x:c r="E146" s="59" t="n">
        <x:v>3.9</x:v>
      </x:c>
      <x:c r="F146" s="59"/>
      <x:c r="G146" s="59" t="str">
        <x:f>IF(F146="","",F146-E146)</x:f>
      </x:c>
      <x:c r="H146" s="59" t="str">
        <x:f>IF(G146="","",ABS(G146))</x:f>
      </x:c>
      <x:c r="I146" s="60" t="str">
        <x:f>IF(G146="","",ABS(G146/E146)*100)</x:f>
      </x:c>
      <x:c r="J146" s="33" t="str">
        <x:v>Chimaera</x:v>
      </x:c>
      <x:c r="K146" s="33" t="str">
        <x:v>Chimaeridae</x:v>
      </x:c>
      <x:c r="L146" s="33" t="str">
        <x:v>Demersal chimaeras</x:v>
      </x:c>
      <x:c r="M146" s="33" t="str">
        <x:v>Chondrichthyes</x:v>
      </x:c>
    </x:row>
    <x:row r="147">
      <x:c r="A147" s="33" t="str">
        <x:v>Family</x:v>
      </x:c>
      <x:c r="B147" s="33" t="str">
        <x:v>Genus</x:v>
      </x:c>
      <x:c r="C147" s="33" t="str">
        <x:v>Serrivomer</x:v>
      </x:c>
      <x:c r="D147" s="33" t="str">
        <x:v>Serrivomer beanii</x:v>
      </x:c>
      <x:c r="E147" s="59" t="n">
        <x:v>2.1</x:v>
      </x:c>
      <x:c r="F147" s="59"/>
      <x:c r="G147" s="59" t="str">
        <x:f>IF(F147="","",F147-E147)</x:f>
      </x:c>
      <x:c r="H147" s="59" t="str">
        <x:f>IF(G147="","",ABS(G147))</x:f>
      </x:c>
      <x:c r="I147" s="60" t="str">
        <x:f>IF(G147="","",ABS(G147/E147)*100)</x:f>
      </x:c>
      <x:c r="J147" s="33" t="str">
        <x:v>Serrivomer</x:v>
      </x:c>
      <x:c r="K147" s="33" t="str">
        <x:v>Serrivomeridae</x:v>
      </x:c>
      <x:c r="L147" s="33" t="str">
        <x:v>Unclassified teleosts</x:v>
      </x:c>
      <x:c r="M147" s="33" t="str">
        <x:v>Teleostei</x:v>
      </x:c>
    </x:row>
    <x:row r="148">
      <x:c r="A148" s="33" t="str">
        <x:v>Family</x:v>
      </x:c>
      <x:c r="B148" s="33" t="str">
        <x:v>Genus</x:v>
      </x:c>
      <x:c r="C148" s="33" t="str">
        <x:v>Sprattus</x:v>
      </x:c>
      <x:c r="D148" s="33" t="str">
        <x:v>Sprattus sprattus</x:v>
      </x:c>
      <x:c r="E148" s="59" t="n">
        <x:v>6.5</x:v>
      </x:c>
      <x:c r="F148" s="59" t="n">
        <x:v>6.995</x:v>
      </x:c>
      <x:c r="G148" s="59" t="n">
        <x:f>IF(F148="","",F148-E148)</x:f>
        <x:v>0.4950000000000001</x:v>
      </x:c>
      <x:c r="H148" s="59" t="n">
        <x:f>IF(G148="","",ABS(G148))</x:f>
        <x:v>0.4950000000000001</x:v>
      </x:c>
      <x:c r="I148" s="60" t="n">
        <x:f>IF(G148="","",ABS(G148/E148)*100)</x:f>
        <x:v>7.615384615384617</x:v>
      </x:c>
      <x:c r="J148" s="33" t="str">
        <x:v>Sprattus</x:v>
      </x:c>
      <x:c r="K148" s="33" t="str">
        <x:v>Clupeidae</x:v>
      </x:c>
      <x:c r="L148" s="33" t="str">
        <x:v>Small pelagic forage fishes</x:v>
      </x:c>
      <x:c r="M148" s="33" t="str">
        <x:v>Teleostei</x:v>
      </x:c>
    </x:row>
    <x:row r="149">
      <x:c r="A149" s="33" t="str">
        <x:v>Family</x:v>
      </x:c>
      <x:c r="B149" s="33" t="str">
        <x:v>Genus</x:v>
      </x:c>
      <x:c r="C149" s="33" t="str">
        <x:v>Sardina</x:v>
      </x:c>
      <x:c r="D149" s="33" t="str">
        <x:v>Sardina pilchardus</x:v>
      </x:c>
      <x:c r="E149" s="59" t="n">
        <x:v>8.7</x:v>
      </x:c>
      <x:c r="F149" s="59" t="n">
        <x:v>6.87</x:v>
      </x:c>
      <x:c r="G149" s="59" t="n">
        <x:f>IF(F149="","",F149-E149)</x:f>
        <x:v>-1.8299999999999992</x:v>
      </x:c>
      <x:c r="H149" s="59" t="n">
        <x:f>IF(G149="","",ABS(G149))</x:f>
        <x:v>1.8299999999999992</x:v>
      </x:c>
      <x:c r="I149" s="60" t="n">
        <x:f>IF(G149="","",ABS(G149/E149)*100)</x:f>
        <x:v>21.034482758620683</x:v>
      </x:c>
      <x:c r="J149" s="33" t="str">
        <x:v>Sardina</x:v>
      </x:c>
      <x:c r="K149" s="33" t="str">
        <x:v>Clupeidae</x:v>
      </x:c>
      <x:c r="L149" s="33" t="str">
        <x:v>Small pelagic forage fishes</x:v>
      </x:c>
      <x:c r="M149" s="33" t="str">
        <x:v>Teleostei</x:v>
      </x:c>
    </x:row>
    <x:row r="150">
      <x:c r="A150" s="33" t="str">
        <x:v>Family</x:v>
      </x:c>
      <x:c r="B150" s="33" t="str">
        <x:v>Genus</x:v>
      </x:c>
      <x:c r="C150" s="33" t="str">
        <x:v>Clupea</x:v>
      </x:c>
      <x:c r="D150" s="33" t="str">
        <x:v>Clupea harengus</x:v>
      </x:c>
      <x:c r="E150" s="59" t="n">
        <x:v>7.955</x:v>
      </x:c>
      <x:c r="F150" s="59" t="n">
        <x:v>6.75</x:v>
      </x:c>
      <x:c r="G150" s="59" t="n">
        <x:f>IF(F150="","",F150-E150)</x:f>
        <x:v>-1.205</x:v>
      </x:c>
      <x:c r="H150" s="59" t="n">
        <x:f>IF(G150="","",ABS(G150))</x:f>
        <x:v>1.205</x:v>
      </x:c>
      <x:c r="I150" s="60" t="n">
        <x:f>IF(G150="","",ABS(G150/E150)*100)</x:f>
        <x:v>15.147705845380266</x:v>
      </x:c>
      <x:c r="J150" s="33" t="str">
        <x:v>Clupea</x:v>
      </x:c>
      <x:c r="K150" s="33" t="str">
        <x:v>Clupeidae</x:v>
      </x:c>
      <x:c r="L150" s="33" t="str">
        <x:v>Small pelagic forage fishes</x:v>
      </x:c>
      <x:c r="M150" s="33" t="str">
        <x:v>Teleostei</x:v>
      </x:c>
    </x:row>
    <x:row r="151">
      <x:c r="A151" s="33" t="str">
        <x:v>Family</x:v>
      </x:c>
      <x:c r="B151" s="33" t="str">
        <x:v>Genus</x:v>
      </x:c>
      <x:c r="C151" s="33" t="str">
        <x:v>Engraulis</x:v>
      </x:c>
      <x:c r="D151" s="33" t="str">
        <x:v>Engraulis encrasicolus</x:v>
      </x:c>
      <x:c r="E151" s="59" t="n">
        <x:v>5.8</x:v>
      </x:c>
      <x:c r="F151" s="59" t="n">
        <x:v>5.2</x:v>
      </x:c>
      <x:c r="G151" s="59" t="n">
        <x:f>IF(F151="","",F151-E151)</x:f>
        <x:v>-0.5999999999999996</x:v>
      </x:c>
      <x:c r="H151" s="59" t="n">
        <x:f>IF(G151="","",ABS(G151))</x:f>
        <x:v>0.5999999999999996</x:v>
      </x:c>
      <x:c r="I151" s="60" t="n">
        <x:f>IF(G151="","",ABS(G151/E151)*100)</x:f>
        <x:v>10.344827586206891</x:v>
      </x:c>
      <x:c r="J151" s="33" t="str">
        <x:v>Engraulis</x:v>
      </x:c>
      <x:c r="K151" s="33" t="str">
        <x:v>Engraulidae</x:v>
      </x:c>
      <x:c r="L151" s="33" t="str">
        <x:v>Small pelagic forage fishes</x:v>
      </x:c>
      <x:c r="M151" s="33" t="str">
        <x:v>Teleostei</x:v>
      </x:c>
    </x:row>
    <x:row r="152">
      <x:c r="A152" s="33" t="str">
        <x:v>Family</x:v>
      </x:c>
      <x:c r="B152" s="33" t="str">
        <x:v>Genus</x:v>
      </x:c>
      <x:c r="C152" s="33" t="str">
        <x:v>Xenodermichtys</x:v>
      </x:c>
      <x:c r="D152" s="33" t="str">
        <x:v>Xenodermichtys copei</x:v>
      </x:c>
      <x:c r="E152" s="59" t="n">
        <x:v>2.2</x:v>
      </x:c>
      <x:c r="F152" s="59"/>
      <x:c r="G152" s="59" t="str">
        <x:f>IF(F152="","",F152-E152)</x:f>
      </x:c>
      <x:c r="H152" s="59" t="str">
        <x:f>IF(G152="","",ABS(G152))</x:f>
      </x:c>
      <x:c r="I152" s="60" t="str">
        <x:f>IF(G152="","",ABS(G152/E152)*100)</x:f>
      </x:c>
      <x:c r="J152" s="33" t="str">
        <x:v>Xenodermichtys</x:v>
      </x:c>
      <x:c r="K152" s="33" t="str">
        <x:v>Alepocephalidae</x:v>
      </x:c>
      <x:c r="L152" s="33" t="str">
        <x:v>Unclassified teleosts</x:v>
      </x:c>
      <x:c r="M152" s="33" t="str">
        <x:v>Teleostei</x:v>
      </x:c>
    </x:row>
    <x:row r="153">
      <x:c r="A153" s="33" t="str">
        <x:v>Family</x:v>
      </x:c>
      <x:c r="B153" s="33" t="str">
        <x:v>Genus</x:v>
      </x:c>
      <x:c r="C153" s="33" t="str">
        <x:v>Argentina</x:v>
      </x:c>
      <x:c r="D153" s="33" t="str">
        <x:v>Argentina sphyraena</x:v>
      </x:c>
      <x:c r="E153" s="59" t="n">
        <x:v>6.1</x:v>
      </x:c>
      <x:c r="F153" s="59"/>
      <x:c r="G153" s="59" t="str">
        <x:f>IF(F153="","",F153-E153)</x:f>
      </x:c>
      <x:c r="H153" s="59" t="str">
        <x:f>IF(G153="","",ABS(G153))</x:f>
      </x:c>
      <x:c r="I153" s="60" t="str">
        <x:f>IF(G153="","",ABS(G153/E153)*100)</x:f>
      </x:c>
      <x:c r="J153" s="33" t="str">
        <x:v>Argentina</x:v>
      </x:c>
      <x:c r="K153" s="33" t="str">
        <x:v>Argentinidae</x:v>
      </x:c>
      <x:c r="L153" s="33" t="str">
        <x:v>Unclassified teleosts</x:v>
      </x:c>
      <x:c r="M153" s="33" t="str">
        <x:v>Teleostei</x:v>
      </x:c>
    </x:row>
    <x:row r="154">
      <x:c r="A154" s="33" t="str">
        <x:v>Family</x:v>
      </x:c>
      <x:c r="B154" s="33" t="str">
        <x:v>Genus</x:v>
      </x:c>
      <x:c r="C154" s="33" t="str">
        <x:v>Normichthys</x:v>
      </x:c>
      <x:c r="D154" s="33" t="str">
        <x:v>Normichthys operosa</x:v>
      </x:c>
      <x:c r="E154" s="59" t="n">
        <x:v>2.6</x:v>
      </x:c>
      <x:c r="F154" s="59"/>
      <x:c r="G154" s="59" t="str">
        <x:f>IF(F154="","",F154-E154)</x:f>
      </x:c>
      <x:c r="H154" s="59" t="str">
        <x:f>IF(G154="","",ABS(G154))</x:f>
      </x:c>
      <x:c r="I154" s="60" t="str">
        <x:f>IF(G154="","",ABS(G154/E154)*100)</x:f>
      </x:c>
      <x:c r="J154" s="33" t="str">
        <x:v>Normichthys</x:v>
      </x:c>
      <x:c r="K154" s="33" t="str">
        <x:v>Platytroctidae</x:v>
      </x:c>
      <x:c r="L154" s="33" t="str">
        <x:v>Unclassified teleosts</x:v>
      </x:c>
      <x:c r="M154" s="33" t="str">
        <x:v>Teleostei</x:v>
      </x:c>
    </x:row>
    <x:row r="155">
      <x:c r="A155" s="33" t="str">
        <x:v>Family</x:v>
      </x:c>
      <x:c r="B155" s="33" t="str">
        <x:v>Genus</x:v>
      </x:c>
      <x:c r="C155" s="33" t="str">
        <x:v>Argyropelecus</x:v>
      </x:c>
      <x:c r="D155" s="33" t="str">
        <x:v>Argyropelecus olfersii</x:v>
      </x:c>
      <x:c r="E155" s="59" t="n">
        <x:v>3.5</x:v>
      </x:c>
      <x:c r="F155" s="59" t="n">
        <x:v>4.2</x:v>
      </x:c>
      <x:c r="G155" s="59" t="n">
        <x:f>IF(F155="","",F155-E155)</x:f>
        <x:v>0.7000000000000002</x:v>
      </x:c>
      <x:c r="H155" s="59" t="n">
        <x:f>IF(G155="","",ABS(G155))</x:f>
        <x:v>0.7000000000000002</x:v>
      </x:c>
      <x:c r="I155" s="60" t="n">
        <x:f>IF(G155="","",ABS(G155/E155)*100)</x:f>
        <x:v>20.000000000000004</x:v>
      </x:c>
      <x:c r="J155" s="33" t="str">
        <x:v>Argyropelecus</x:v>
      </x:c>
      <x:c r="K155" s="33" t="str">
        <x:v>Sternoptychidae</x:v>
      </x:c>
      <x:c r="L155" s="33" t="str">
        <x:v>Mesopelagic forage fishes</x:v>
      </x:c>
      <x:c r="M155" s="33" t="str">
        <x:v>Teleostei</x:v>
      </x:c>
    </x:row>
    <x:row r="156">
      <x:c r="A156" s="33" t="str">
        <x:v>Family</x:v>
      </x:c>
      <x:c r="B156" s="33" t="str">
        <x:v>Genus</x:v>
      </x:c>
      <x:c r="C156" s="33" t="str">
        <x:v>Maurolicus</x:v>
      </x:c>
      <x:c r="D156" s="33" t="str">
        <x:v>Maurolicus muelleri</x:v>
      </x:c>
      <x:c r="E156" s="59" t="n">
        <x:v>4.2</x:v>
      </x:c>
      <x:c r="F156" s="59" t="n">
        <x:v>3.5</x:v>
      </x:c>
      <x:c r="G156" s="59" t="n">
        <x:f>IF(F156="","",F156-E156)</x:f>
        <x:v>-0.7000000000000002</x:v>
      </x:c>
      <x:c r="H156" s="59" t="n">
        <x:f>IF(G156="","",ABS(G156))</x:f>
        <x:v>0.7000000000000002</x:v>
      </x:c>
      <x:c r="I156" s="60" t="n">
        <x:f>IF(G156="","",ABS(G156/E156)*100)</x:f>
        <x:v>16.66666666666667</x:v>
      </x:c>
      <x:c r="J156" s="33" t="str">
        <x:v>Maurolicus</x:v>
      </x:c>
      <x:c r="K156" s="33" t="str">
        <x:v>Sternoptychidae</x:v>
      </x:c>
      <x:c r="L156" s="33" t="str">
        <x:v>Mesopelagic forage fishes</x:v>
      </x:c>
      <x:c r="M156" s="33" t="str">
        <x:v>Teleostei</x:v>
      </x:c>
    </x:row>
    <x:row r="157">
      <x:c r="A157" s="33" t="str">
        <x:v>Family</x:v>
      </x:c>
      <x:c r="B157" s="33" t="str">
        <x:v>Genus</x:v>
      </x:c>
      <x:c r="C157" s="33" t="str">
        <x:v>Stomias</x:v>
      </x:c>
      <x:c r="D157" s="33" t="str">
        <x:v>Stomias boa</x:v>
      </x:c>
      <x:c r="E157" s="59" t="n">
        <x:v>2.8</x:v>
      </x:c>
      <x:c r="F157" s="59"/>
      <x:c r="G157" s="59" t="str">
        <x:f>IF(F157="","",F157-E157)</x:f>
      </x:c>
      <x:c r="H157" s="59" t="str">
        <x:f>IF(G157="","",ABS(G157))</x:f>
      </x:c>
      <x:c r="I157" s="60" t="str">
        <x:f>IF(G157="","",ABS(G157/E157)*100)</x:f>
      </x:c>
      <x:c r="J157" s="33" t="str">
        <x:v>Stomias</x:v>
      </x:c>
      <x:c r="K157" s="33" t="str">
        <x:v>Stomiidae</x:v>
      </x:c>
      <x:c r="L157" s="33" t="str">
        <x:v>Unclassified teleosts</x:v>
      </x:c>
      <x:c r="M157" s="33" t="str">
        <x:v>Teleostei</x:v>
      </x:c>
    </x:row>
    <x:row r="158">
      <x:c r="A158" s="33" t="str">
        <x:v>Family</x:v>
      </x:c>
      <x:c r="B158" s="33" t="str">
        <x:v>Genus</x:v>
      </x:c>
      <x:c r="C158" s="33" t="str">
        <x:v>Arctozenus</x:v>
      </x:c>
      <x:c r="D158" s="33" t="str">
        <x:v>Arctozenus risso</x:v>
      </x:c>
      <x:c r="E158" s="59" t="n">
        <x:v>4.3</x:v>
      </x:c>
      <x:c r="F158" s="59"/>
      <x:c r="G158" s="59" t="str">
        <x:f>IF(F158="","",F158-E158)</x:f>
      </x:c>
      <x:c r="H158" s="59" t="str">
        <x:f>IF(G158="","",ABS(G158))</x:f>
      </x:c>
      <x:c r="I158" s="60" t="str">
        <x:f>IF(G158="","",ABS(G158/E158)*100)</x:f>
      </x:c>
      <x:c r="J158" s="33" t="str">
        <x:v>Arctozenus</x:v>
      </x:c>
      <x:c r="K158" s="33" t="str">
        <x:v>Paralepididae</x:v>
      </x:c>
      <x:c r="L158" s="33" t="str">
        <x:v>Unclassified teleosts</x:v>
      </x:c>
      <x:c r="M158" s="33" t="str">
        <x:v>Teleostei</x:v>
      </x:c>
    </x:row>
    <x:row r="159">
      <x:c r="A159" s="33" t="str">
        <x:v>Family</x:v>
      </x:c>
      <x:c r="B159" s="33" t="str">
        <x:v>Genus</x:v>
      </x:c>
      <x:c r="C159" s="33" t="str">
        <x:v>Lampanyctus</x:v>
      </x:c>
      <x:c r="D159" s="33" t="str">
        <x:v>Lampanyctus crocodilus</x:v>
      </x:c>
      <x:c r="E159" s="59" t="n">
        <x:v>4.1</x:v>
      </x:c>
      <x:c r="F159" s="59" t="n">
        <x:v>7</x:v>
      </x:c>
      <x:c r="G159" s="59" t="n">
        <x:f>IF(F159="","",F159-E159)</x:f>
        <x:v>2.9000000000000004</x:v>
      </x:c>
      <x:c r="H159" s="59" t="n">
        <x:f>IF(G159="","",ABS(G159))</x:f>
        <x:v>2.9000000000000004</x:v>
      </x:c>
      <x:c r="I159" s="60" t="n">
        <x:f>IF(G159="","",ABS(G159/E159)*100)</x:f>
        <x:v>70.73170731707319</x:v>
      </x:c>
      <x:c r="J159" s="33" t="str">
        <x:v>Lampanyctus</x:v>
      </x:c>
      <x:c r="K159" s="33" t="str">
        <x:v>Myctophidae</x:v>
      </x:c>
      <x:c r="L159" s="33" t="str">
        <x:v>Mesopelagic forage fishes</x:v>
      </x:c>
      <x:c r="M159" s="33" t="str">
        <x:v>Teleostei</x:v>
      </x:c>
    </x:row>
    <x:row r="160">
      <x:c r="A160" s="33" t="str">
        <x:v>Family</x:v>
      </x:c>
      <x:c r="B160" s="33" t="str">
        <x:v>Genus</x:v>
      </x:c>
      <x:c r="C160" s="33" t="str">
        <x:v>Benthosema</x:v>
      </x:c>
      <x:c r="D160" s="33" t="str">
        <x:v>Benthosema glaciale</x:v>
      </x:c>
      <x:c r="E160" s="59" t="n">
        <x:v>5.9</x:v>
      </x:c>
      <x:c r="F160" s="59" t="n">
        <x:v>7</x:v>
      </x:c>
      <x:c r="G160" s="59" t="n">
        <x:f>IF(F160="","",F160-E160)</x:f>
        <x:v>1.0999999999999996</x:v>
      </x:c>
      <x:c r="H160" s="59" t="n">
        <x:f>IF(G160="","",ABS(G160))</x:f>
        <x:v>1.0999999999999996</x:v>
      </x:c>
      <x:c r="I160" s="60" t="n">
        <x:f>IF(G160="","",ABS(G160/E160)*100)</x:f>
        <x:v>18.644067796610162</x:v>
      </x:c>
      <x:c r="J160" s="33" t="str">
        <x:v>Benthosema</x:v>
      </x:c>
      <x:c r="K160" s="33" t="str">
        <x:v>Myctophidae</x:v>
      </x:c>
      <x:c r="L160" s="33" t="str">
        <x:v>Mesopelagic forage fishes</x:v>
      </x:c>
      <x:c r="M160" s="33" t="str">
        <x:v>Teleostei</x:v>
      </x:c>
    </x:row>
    <x:row r="161">
      <x:c r="A161" s="33" t="str">
        <x:v>Family</x:v>
      </x:c>
      <x:c r="B161" s="33" t="str">
        <x:v>Genus</x:v>
      </x:c>
      <x:c r="C161" s="33" t="str">
        <x:v>Notoscopelus</x:v>
      </x:c>
      <x:c r="D161" s="33" t="str">
        <x:v>Notoscopelus kroyeri</x:v>
      </x:c>
      <x:c r="E161" s="59" t="n">
        <x:v>7.9</x:v>
      </x:c>
      <x:c r="F161" s="59" t="n">
        <x:v>7</x:v>
      </x:c>
      <x:c r="G161" s="59" t="n">
        <x:f>IF(F161="","",F161-E161)</x:f>
        <x:v>-0.9000000000000004</x:v>
      </x:c>
      <x:c r="H161" s="59" t="n">
        <x:f>IF(G161="","",ABS(G161))</x:f>
        <x:v>0.9000000000000004</x:v>
      </x:c>
      <x:c r="I161" s="60" t="n">
        <x:f>IF(G161="","",ABS(G161/E161)*100)</x:f>
        <x:v>11.392405063291143</x:v>
      </x:c>
      <x:c r="J161" s="33" t="str">
        <x:v>Notoscopelus</x:v>
      </x:c>
      <x:c r="K161" s="33" t="str">
        <x:v>Myctophidae</x:v>
      </x:c>
      <x:c r="L161" s="33" t="str">
        <x:v>Mesopelagic forage fishes</x:v>
      </x:c>
      <x:c r="M161" s="33" t="str">
        <x:v>Teleostei</x:v>
      </x:c>
    </x:row>
    <x:row r="162">
      <x:c r="A162" s="33" t="str">
        <x:v>Family</x:v>
      </x:c>
      <x:c r="B162" s="33" t="str">
        <x:v>Genus</x:v>
      </x:c>
      <x:c r="C162" s="33" t="str">
        <x:v>Lobianchia</x:v>
      </x:c>
      <x:c r="D162" s="33" t="str">
        <x:v>Lobianchia gemellari</x:v>
      </x:c>
      <x:c r="E162" s="59" t="n">
        <x:v>8.6</x:v>
      </x:c>
      <x:c r="F162" s="59" t="n">
        <x:v>7</x:v>
      </x:c>
      <x:c r="G162" s="59" t="n">
        <x:f>IF(F162="","",F162-E162)</x:f>
        <x:v>-1.5999999999999996</x:v>
      </x:c>
      <x:c r="H162" s="59" t="n">
        <x:f>IF(G162="","",ABS(G162))</x:f>
        <x:v>1.5999999999999996</x:v>
      </x:c>
      <x:c r="I162" s="60" t="n">
        <x:f>IF(G162="","",ABS(G162/E162)*100)</x:f>
        <x:v>18.604651162790695</x:v>
      </x:c>
      <x:c r="J162" s="33" t="str">
        <x:v>Lobianchia</x:v>
      </x:c>
      <x:c r="K162" s="33" t="str">
        <x:v>Myctophidae</x:v>
      </x:c>
      <x:c r="L162" s="33" t="str">
        <x:v>Mesopelagic forage fishes</x:v>
      </x:c>
      <x:c r="M162" s="33" t="str">
        <x:v>Teleostei</x:v>
      </x:c>
    </x:row>
    <x:row r="163">
      <x:c r="A163" s="33" t="str">
        <x:v>Family</x:v>
      </x:c>
      <x:c r="B163" s="33" t="str">
        <x:v>Genus</x:v>
      </x:c>
      <x:c r="C163" s="33" t="str">
        <x:v>Coelorinchus</x:v>
      </x:c>
      <x:c r="D163" s="33" t="str">
        <x:v>Coelorinchus coelorinchus</x:v>
      </x:c>
      <x:c r="E163" s="59" t="n">
        <x:v>5.1</x:v>
      </x:c>
      <x:c r="F163" s="59"/>
      <x:c r="G163" s="59" t="str">
        <x:f>IF(F163="","",F163-E163)</x:f>
      </x:c>
      <x:c r="H163" s="59" t="str">
        <x:f>IF(G163="","",ABS(G163))</x:f>
      </x:c>
      <x:c r="I163" s="60" t="str">
        <x:f>IF(G163="","",ABS(G163/E163)*100)</x:f>
      </x:c>
      <x:c r="J163" s="33" t="str">
        <x:v>Coelorinchus</x:v>
      </x:c>
      <x:c r="K163" s="33" t="str">
        <x:v>Macrouridae</x:v>
      </x:c>
      <x:c r="L163" s="33" t="str">
        <x:v>Other demersal fishes</x:v>
      </x:c>
      <x:c r="M163" s="33" t="str">
        <x:v>Teleostei</x:v>
      </x:c>
    </x:row>
    <x:row r="164">
      <x:c r="A164" s="33" t="str">
        <x:v>Family</x:v>
      </x:c>
      <x:c r="B164" s="33" t="str">
        <x:v>Genus</x:v>
      </x:c>
      <x:c r="C164" s="33" t="str">
        <x:v>Merlangius</x:v>
      </x:c>
      <x:c r="D164" s="33" t="str">
        <x:v>Merlangius merlangus</x:v>
      </x:c>
      <x:c r="E164" s="59" t="n">
        <x:v>3.9</x:v>
      </x:c>
      <x:c r="F164" s="59" t="n">
        <x:v>4.85</x:v>
      </x:c>
      <x:c r="G164" s="59" t="n">
        <x:f>IF(F164="","",F164-E164)</x:f>
        <x:v>0.9499999999999997</x:v>
      </x:c>
      <x:c r="H164" s="59" t="n">
        <x:f>IF(G164="","",ABS(G164))</x:f>
        <x:v>0.9499999999999997</x:v>
      </x:c>
      <x:c r="I164" s="60" t="n">
        <x:f>IF(G164="","",ABS(G164/E164)*100)</x:f>
        <x:v>24.358974358974354</x:v>
      </x:c>
      <x:c r="J164" s="33" t="str">
        <x:v>Merlangius</x:v>
      </x:c>
      <x:c r="K164" s="33" t="str">
        <x:v>Gadidae</x:v>
      </x:c>
      <x:c r="L164" s="33" t="str">
        <x:v>Other demersal fishes</x:v>
      </x:c>
      <x:c r="M164" s="33" t="str">
        <x:v>Teleostei</x:v>
      </x:c>
    </x:row>
    <x:row r="165">
      <x:c r="A165" s="33" t="str">
        <x:v>Family</x:v>
      </x:c>
      <x:c r="B165" s="33" t="str">
        <x:v>Genus</x:v>
      </x:c>
      <x:c r="C165" s="33" t="str">
        <x:v>Pollachius</x:v>
      </x:c>
      <x:c r="D165" s="33" t="str">
        <x:v>Pollachius pollachius</x:v>
      </x:c>
      <x:c r="E165" s="59" t="n">
        <x:v>4.2</x:v>
      </x:c>
      <x:c r="F165" s="59" t="n">
        <x:v>4.85</x:v>
      </x:c>
      <x:c r="G165" s="59" t="n">
        <x:f>IF(F165="","",F165-E165)</x:f>
        <x:v>0.6499999999999995</x:v>
      </x:c>
      <x:c r="H165" s="59" t="n">
        <x:f>IF(G165="","",ABS(G165))</x:f>
        <x:v>0.6499999999999995</x:v>
      </x:c>
      <x:c r="I165" s="60" t="n">
        <x:f>IF(G165="","",ABS(G165/E165)*100)</x:f>
        <x:v>15.476190476190462</x:v>
      </x:c>
      <x:c r="J165" s="33" t="str">
        <x:v>Pollachius</x:v>
      </x:c>
      <x:c r="K165" s="33" t="str">
        <x:v>Gadidae</x:v>
      </x:c>
      <x:c r="L165" s="33" t="str">
        <x:v>Other demersal fishes</x:v>
      </x:c>
      <x:c r="M165" s="33" t="str">
        <x:v>Teleostei</x:v>
      </x:c>
    </x:row>
    <x:row r="166">
      <x:c r="A166" s="33" t="str">
        <x:v>Family</x:v>
      </x:c>
      <x:c r="B166" s="33" t="str">
        <x:v>Genus</x:v>
      </x:c>
      <x:c r="C166" s="33" t="str">
        <x:v>Micromesistius</x:v>
      </x:c>
      <x:c r="D166" s="33" t="str">
        <x:v>Micromesistius poutassou</x:v>
      </x:c>
      <x:c r="E166" s="59" t="n">
        <x:v>4.4</x:v>
      </x:c>
      <x:c r="F166" s="59" t="n">
        <x:v>4.85</x:v>
      </x:c>
      <x:c r="G166" s="59" t="n">
        <x:f>IF(F166="","",F166-E166)</x:f>
        <x:v>0.4499999999999993</x:v>
      </x:c>
      <x:c r="H166" s="59" t="n">
        <x:f>IF(G166="","",ABS(G166))</x:f>
        <x:v>0.4499999999999993</x:v>
      </x:c>
      <x:c r="I166" s="60" t="n">
        <x:f>IF(G166="","",ABS(G166/E166)*100)</x:f>
        <x:v>10.22727272727271</x:v>
      </x:c>
      <x:c r="J166" s="33" t="str">
        <x:v>Micromesistius</x:v>
      </x:c>
      <x:c r="K166" s="33" t="str">
        <x:v>Gadidae</x:v>
      </x:c>
      <x:c r="L166" s="33" t="str">
        <x:v>Other demersal fishes</x:v>
      </x:c>
      <x:c r="M166" s="33" t="str">
        <x:v>Teleostei</x:v>
      </x:c>
    </x:row>
    <x:row r="167">
      <x:c r="A167" s="33" t="str">
        <x:v>Family</x:v>
      </x:c>
      <x:c r="B167" s="33" t="str">
        <x:v>Genus</x:v>
      </x:c>
      <x:c r="C167" s="33" t="str">
        <x:v>Trisopterus</x:v>
      </x:c>
      <x:c r="D167" s="33" t="str">
        <x:v>Trisopterus luscus</x:v>
      </x:c>
      <x:c r="E167" s="59" t="n">
        <x:v>4.7</x:v>
      </x:c>
      <x:c r="F167" s="59" t="n">
        <x:v>4.4</x:v>
      </x:c>
      <x:c r="G167" s="59" t="n">
        <x:f>IF(F167="","",F167-E167)</x:f>
        <x:v>-0.2999999999999998</x:v>
      </x:c>
      <x:c r="H167" s="59" t="n">
        <x:f>IF(G167="","",ABS(G167))</x:f>
        <x:v>0.2999999999999998</x:v>
      </x:c>
      <x:c r="I167" s="60" t="n">
        <x:f>IF(G167="","",ABS(G167/E167)*100)</x:f>
        <x:v>6.382978723404251</x:v>
      </x:c>
      <x:c r="J167" s="33" t="str">
        <x:v>Trisopterus</x:v>
      </x:c>
      <x:c r="K167" s="33" t="str">
        <x:v>Gadidae</x:v>
      </x:c>
      <x:c r="L167" s="33" t="str">
        <x:v>Other demersal fishes</x:v>
      </x:c>
      <x:c r="M167" s="33" t="str">
        <x:v>Teleostei</x:v>
      </x:c>
    </x:row>
    <x:row r="168">
      <x:c r="A168" s="33" t="str">
        <x:v>Family</x:v>
      </x:c>
      <x:c r="B168" s="33" t="str">
        <x:v>Genus</x:v>
      </x:c>
      <x:c r="C168" s="33" t="str">
        <x:v>Gadiculus</x:v>
      </x:c>
      <x:c r="D168" s="33" t="str">
        <x:v>Gadiculus argenteus</x:v>
      </x:c>
      <x:c r="E168" s="59" t="n">
        <x:v>5</x:v>
      </x:c>
      <x:c r="F168" s="59" t="n">
        <x:v>4.550000000000001</x:v>
      </x:c>
      <x:c r="G168" s="59" t="n">
        <x:f>IF(F168="","",F168-E168)</x:f>
        <x:v>-0.4499999999999993</x:v>
      </x:c>
      <x:c r="H168" s="59" t="n">
        <x:f>IF(G168="","",ABS(G168))</x:f>
        <x:v>0.4499999999999993</x:v>
      </x:c>
      <x:c r="I168" s="60" t="n">
        <x:f>IF(G168="","",ABS(G168/E168)*100)</x:f>
        <x:v>8.999999999999986</x:v>
      </x:c>
      <x:c r="J168" s="33" t="str">
        <x:v>Gadiculus</x:v>
      </x:c>
      <x:c r="K168" s="33" t="str">
        <x:v>Gadidae</x:v>
      </x:c>
      <x:c r="L168" s="33" t="str">
        <x:v>Other demersal fishes</x:v>
      </x:c>
      <x:c r="M168" s="33" t="str">
        <x:v>Teleostei</x:v>
      </x:c>
    </x:row>
    <x:row r="169">
      <x:c r="A169" s="33" t="str">
        <x:v>Family</x:v>
      </x:c>
      <x:c r="B169" s="33" t="str">
        <x:v>Genus</x:v>
      </x:c>
      <x:c r="C169" s="33" t="str">
        <x:v>Trisopterus</x:v>
      </x:c>
      <x:c r="D169" s="33" t="str">
        <x:v>Trisopterus minutus</x:v>
      </x:c>
      <x:c r="E169" s="59" t="n">
        <x:v>5.1</x:v>
      </x:c>
      <x:c r="F169" s="59" t="n">
        <x:v>4.4</x:v>
      </x:c>
      <x:c r="G169" s="59" t="n">
        <x:f>IF(F169="","",F169-E169)</x:f>
        <x:v>-0.6999999999999993</x:v>
      </x:c>
      <x:c r="H169" s="59" t="n">
        <x:f>IF(G169="","",ABS(G169))</x:f>
        <x:v>0.6999999999999993</x:v>
      </x:c>
      <x:c r="I169" s="60" t="n">
        <x:f>IF(G169="","",ABS(G169/E169)*100)</x:f>
        <x:v>13.725490196078418</x:v>
      </x:c>
      <x:c r="J169" s="33" t="str">
        <x:v>Trisopterus</x:v>
      </x:c>
      <x:c r="K169" s="33" t="str">
        <x:v>Gadidae</x:v>
      </x:c>
      <x:c r="L169" s="33" t="str">
        <x:v>Other demersal fishes</x:v>
      </x:c>
      <x:c r="M169" s="33" t="str">
        <x:v>Teleostei</x:v>
      </x:c>
    </x:row>
    <x:row r="170">
      <x:c r="A170" s="33" t="str">
        <x:v>Family</x:v>
      </x:c>
      <x:c r="B170" s="33" t="str">
        <x:v>Genus</x:v>
      </x:c>
      <x:c r="C170" s="33" t="str">
        <x:v>Phycis</x:v>
      </x:c>
      <x:c r="D170" s="33" t="str">
        <x:v>Phycis blennoides</x:v>
      </x:c>
      <x:c r="E170" s="59" t="n">
        <x:v>5</x:v>
      </x:c>
      <x:c r="F170" s="59"/>
      <x:c r="G170" s="59" t="str">
        <x:f>IF(F170="","",F170-E170)</x:f>
      </x:c>
      <x:c r="H170" s="59" t="str">
        <x:f>IF(G170="","",ABS(G170))</x:f>
      </x:c>
      <x:c r="I170" s="60" t="str">
        <x:f>IF(G170="","",ABS(G170/E170)*100)</x:f>
      </x:c>
      <x:c r="J170" s="33" t="str">
        <x:v>Phycis</x:v>
      </x:c>
      <x:c r="K170" s="33" t="str">
        <x:v>Phycidae</x:v>
      </x:c>
      <x:c r="L170" s="33" t="str">
        <x:v>Unclassified teleosts</x:v>
      </x:c>
      <x:c r="M170" s="33" t="str">
        <x:v>Teleostei</x:v>
      </x:c>
    </x:row>
    <x:row r="171">
      <x:c r="A171" s="33" t="str">
        <x:v>Family</x:v>
      </x:c>
      <x:c r="B171" s="33" t="str">
        <x:v>Genus</x:v>
      </x:c>
      <x:c r="C171" s="33" t="str">
        <x:v>Merluccius</x:v>
      </x:c>
      <x:c r="D171" s="33" t="str">
        <x:v>Merluccius merluccius</x:v>
      </x:c>
      <x:c r="E171" s="59" t="n">
        <x:v>3.7</x:v>
      </x:c>
      <x:c r="F171" s="59"/>
      <x:c r="G171" s="59" t="str">
        <x:f>IF(F171="","",F171-E171)</x:f>
      </x:c>
      <x:c r="H171" s="59" t="str">
        <x:f>IF(G171="","",ABS(G171))</x:f>
      </x:c>
      <x:c r="I171" s="60" t="str">
        <x:f>IF(G171="","",ABS(G171/E171)*100)</x:f>
      </x:c>
      <x:c r="J171" s="33" t="str">
        <x:v>Merluccius</x:v>
      </x:c>
      <x:c r="K171" s="33" t="str">
        <x:v>Merlucciidae</x:v>
      </x:c>
      <x:c r="L171" s="33" t="str">
        <x:v>Other demersal fishes</x:v>
      </x:c>
      <x:c r="M171" s="33" t="str">
        <x:v>Teleostei</x:v>
      </x:c>
    </x:row>
    <x:row r="172">
      <x:c r="A172" s="33" t="str">
        <x:v>Family</x:v>
      </x:c>
      <x:c r="B172" s="33" t="str">
        <x:v>Genus</x:v>
      </x:c>
      <x:c r="C172" s="33" t="str">
        <x:v>Atherina</x:v>
      </x:c>
      <x:c r="D172" s="33" t="str">
        <x:v>Atherina presbyter</x:v>
      </x:c>
      <x:c r="E172" s="59" t="n">
        <x:v>7.3</x:v>
      </x:c>
      <x:c r="F172" s="59" t="n">
        <x:v>4.23</x:v>
      </x:c>
      <x:c r="G172" s="59" t="n">
        <x:f>IF(F172="","",F172-E172)</x:f>
        <x:v>-3.0699999999999994</x:v>
      </x:c>
      <x:c r="H172" s="59" t="n">
        <x:f>IF(G172="","",ABS(G172))</x:f>
        <x:v>3.0699999999999994</x:v>
      </x:c>
      <x:c r="I172" s="60" t="n">
        <x:f>IF(G172="","",ABS(G172/E172)*100)</x:f>
        <x:v>42.05479452054794</x:v>
      </x:c>
      <x:c r="J172" s="33" t="str">
        <x:v>Atherina</x:v>
      </x:c>
      <x:c r="K172" s="33" t="str">
        <x:v>Atherinidae</x:v>
      </x:c>
      <x:c r="L172" s="33" t="str">
        <x:v>Small pelagic forage fishes</x:v>
      </x:c>
      <x:c r="M172" s="33" t="str">
        <x:v>Teleostei</x:v>
      </x:c>
    </x:row>
    <x:row r="173">
      <x:c r="A173" s="33" t="str">
        <x:v>Family</x:v>
      </x:c>
      <x:c r="B173" s="33" t="str">
        <x:v>Genus</x:v>
      </x:c>
      <x:c r="C173" s="33" t="str">
        <x:v>Belone</x:v>
      </x:c>
      <x:c r="D173" s="33" t="str">
        <x:v>Belone belone</x:v>
      </x:c>
      <x:c r="E173" s="59" t="n">
        <x:v>6.2</x:v>
      </x:c>
      <x:c r="F173" s="59"/>
      <x:c r="G173" s="59" t="str">
        <x:f>IF(F173="","",F173-E173)</x:f>
      </x:c>
      <x:c r="H173" s="59" t="str">
        <x:f>IF(G173="","",ABS(G173))</x:f>
      </x:c>
      <x:c r="I173" s="60" t="str">
        <x:f>IF(G173="","",ABS(G173/E173)*100)</x:f>
      </x:c>
      <x:c r="J173" s="33" t="str">
        <x:v>Belone</x:v>
      </x:c>
      <x:c r="K173" s="33" t="str">
        <x:v>Belonidae</x:v>
      </x:c>
      <x:c r="L173" s="33" t="str">
        <x:v>Unclassified teleosts</x:v>
      </x:c>
      <x:c r="M173" s="33" t="str">
        <x:v>Teleostei</x:v>
      </x:c>
    </x:row>
    <x:row r="174">
      <x:c r="A174" s="33" t="str">
        <x:v>Family</x:v>
      </x:c>
      <x:c r="B174" s="33" t="str">
        <x:v>Genus</x:v>
      </x:c>
      <x:c r="C174" s="33" t="str">
        <x:v>Scomberesox</x:v>
      </x:c>
      <x:c r="D174" s="33" t="str">
        <x:v>Scomberesox saurus</x:v>
      </x:c>
      <x:c r="E174" s="59" t="n">
        <x:v>5.8</x:v>
      </x:c>
      <x:c r="F174" s="59" t="n">
        <x:v>7</x:v>
      </x:c>
      <x:c r="G174" s="59" t="n">
        <x:f>IF(F174="","",F174-E174)</x:f>
        <x:v>1.2000000000000002</x:v>
      </x:c>
      <x:c r="H174" s="59" t="n">
        <x:f>IF(G174="","",ABS(G174))</x:f>
        <x:v>1.2000000000000002</x:v>
      </x:c>
      <x:c r="I174" s="60" t="n">
        <x:f>IF(G174="","",ABS(G174/E174)*100)</x:f>
        <x:v>20.689655172413797</x:v>
      </x:c>
      <x:c r="J174" s="33" t="str">
        <x:v>Scomberesox</x:v>
      </x:c>
      <x:c r="K174" s="33" t="str">
        <x:v>Scomberesocidae</x:v>
      </x:c>
      <x:c r="L174" s="33" t="str">
        <x:v>Unclassified teleosts</x:v>
      </x:c>
      <x:c r="M174" s="33" t="str">
        <x:v>Teleostei</x:v>
      </x:c>
    </x:row>
    <x:row r="175">
      <x:c r="A175" s="33" t="str">
        <x:v>Family</x:v>
      </x:c>
      <x:c r="B175" s="33" t="str">
        <x:v>Genus</x:v>
      </x:c>
      <x:c r="C175" s="33" t="str">
        <x:v>Hoplostethus</x:v>
      </x:c>
      <x:c r="D175" s="33" t="str">
        <x:v>Hoplostethus mediterraneus</x:v>
      </x:c>
      <x:c r="E175" s="59" t="n">
        <x:v>4.7</x:v>
      </x:c>
      <x:c r="F175" s="59"/>
      <x:c r="G175" s="59" t="str">
        <x:f>IF(F175="","",F175-E175)</x:f>
      </x:c>
      <x:c r="H175" s="59" t="str">
        <x:f>IF(G175="","",ABS(G175))</x:f>
      </x:c>
      <x:c r="I175" s="60" t="str">
        <x:f>IF(G175="","",ABS(G175/E175)*100)</x:f>
      </x:c>
      <x:c r="J175" s="33" t="str">
        <x:v>Hoplostethus</x:v>
      </x:c>
      <x:c r="K175" s="33" t="str">
        <x:v>Trachichthyidae</x:v>
      </x:c>
      <x:c r="L175" s="33" t="str">
        <x:v>Unclassified teleosts</x:v>
      </x:c>
      <x:c r="M175" s="33" t="str">
        <x:v>Teleostei</x:v>
      </x:c>
    </x:row>
    <x:row r="176">
      <x:c r="A176" s="33" t="str">
        <x:v>Family</x:v>
      </x:c>
      <x:c r="B176" s="33" t="str">
        <x:v>Genus</x:v>
      </x:c>
      <x:c r="C176" s="33" t="str">
        <x:v>Capros</x:v>
      </x:c>
      <x:c r="D176" s="33" t="str">
        <x:v>Capros aper</x:v>
      </x:c>
      <x:c r="E176" s="59" t="n">
        <x:v>6.2</x:v>
      </x:c>
      <x:c r="F176" s="59"/>
      <x:c r="G176" s="59" t="str">
        <x:f>IF(F176="","",F176-E176)</x:f>
      </x:c>
      <x:c r="H176" s="59" t="str">
        <x:f>IF(G176="","",ABS(G176))</x:f>
      </x:c>
      <x:c r="I176" s="60" t="str">
        <x:f>IF(G176="","",ABS(G176/E176)*100)</x:f>
      </x:c>
      <x:c r="J176" s="33" t="str">
        <x:v>Capros</x:v>
      </x:c>
      <x:c r="K176" s="33" t="str">
        <x:v>Caproidae</x:v>
      </x:c>
      <x:c r="L176" s="33" t="str">
        <x:v>Unclassified teleosts</x:v>
      </x:c>
      <x:c r="M176" s="33" t="str">
        <x:v>Teleostei</x:v>
      </x:c>
    </x:row>
    <x:row r="177">
      <x:c r="A177" s="33" t="str">
        <x:v>Family</x:v>
      </x:c>
      <x:c r="B177" s="33" t="str">
        <x:v>Genus</x:v>
      </x:c>
      <x:c r="C177" s="33" t="str">
        <x:v>Entelurus</x:v>
      </x:c>
      <x:c r="D177" s="33" t="str">
        <x:v>Entelurus aequoreus</x:v>
      </x:c>
      <x:c r="E177" s="59" t="n">
        <x:v>4.7</x:v>
      </x:c>
      <x:c r="F177" s="59"/>
      <x:c r="G177" s="59" t="str">
        <x:f>IF(F177="","",F177-E177)</x:f>
      </x:c>
      <x:c r="H177" s="59" t="str">
        <x:f>IF(G177="","",ABS(G177))</x:f>
      </x:c>
      <x:c r="I177" s="60" t="str">
        <x:f>IF(G177="","",ABS(G177/E177)*100)</x:f>
      </x:c>
      <x:c r="J177" s="33" t="str">
        <x:v>Entelurus</x:v>
      </x:c>
      <x:c r="K177" s="33" t="str">
        <x:v>Syngnathidae</x:v>
      </x:c>
      <x:c r="L177" s="33" t="str">
        <x:v>Unclassified teleosts</x:v>
      </x:c>
      <x:c r="M177" s="33" t="str">
        <x:v>Teleostei</x:v>
      </x:c>
    </x:row>
    <x:row r="178">
      <x:c r="A178" s="33" t="str">
        <x:v>Family</x:v>
      </x:c>
      <x:c r="B178" s="33" t="str">
        <x:v>Genus</x:v>
      </x:c>
      <x:c r="C178" s="33" t="str">
        <x:v>Helicolenus</x:v>
      </x:c>
      <x:c r="D178" s="33" t="str">
        <x:v>Helicolenus dactylopterus</x:v>
      </x:c>
      <x:c r="E178" s="59" t="n">
        <x:v>9.2</x:v>
      </x:c>
      <x:c r="F178" s="59" t="n">
        <x:v>2.97</x:v>
      </x:c>
      <x:c r="G178" s="59" t="n">
        <x:f>IF(F178="","",F178-E178)</x:f>
        <x:v>-6.229999999999999</x:v>
      </x:c>
      <x:c r="H178" s="59" t="n">
        <x:f>IF(G178="","",ABS(G178))</x:f>
        <x:v>6.229999999999999</x:v>
      </x:c>
      <x:c r="I178" s="60" t="n">
        <x:f>IF(G178="","",ABS(G178/E178)*100)</x:f>
        <x:v>67.71739130434781</x:v>
      </x:c>
      <x:c r="J178" s="33" t="str">
        <x:v>Helicolenus</x:v>
      </x:c>
      <x:c r="K178" s="33" t="str">
        <x:v>Sebastidae</x:v>
      </x:c>
      <x:c r="L178" s="33" t="str">
        <x:v>Unclassified teleosts</x:v>
      </x:c>
      <x:c r="M178" s="33" t="str">
        <x:v>Teleostei</x:v>
      </x:c>
    </x:row>
    <x:row r="179">
      <x:c r="A179" s="33" t="str">
        <x:v>Family</x:v>
      </x:c>
      <x:c r="B179" s="33" t="str">
        <x:v>Genus</x:v>
      </x:c>
      <x:c r="C179" s="33" t="str">
        <x:v>Scorpaena</x:v>
      </x:c>
      <x:c r="D179" s="33" t="str">
        <x:v>Scorpaena loppei</x:v>
      </x:c>
      <x:c r="E179" s="59" t="n">
        <x:v>5.1</x:v>
      </x:c>
      <x:c r="F179" s="59"/>
      <x:c r="G179" s="59" t="str">
        <x:f>IF(F179="","",F179-E179)</x:f>
      </x:c>
      <x:c r="H179" s="59" t="str">
        <x:f>IF(G179="","",ABS(G179))</x:f>
      </x:c>
      <x:c r="I179" s="60" t="str">
        <x:f>IF(G179="","",ABS(G179/E179)*100)</x:f>
      </x:c>
      <x:c r="J179" s="33" t="str">
        <x:v>Scorpaena</x:v>
      </x:c>
      <x:c r="K179" s="33" t="str">
        <x:v>Scorpaenidae</x:v>
      </x:c>
      <x:c r="L179" s="33" t="str">
        <x:v>Unclassified teleosts</x:v>
      </x:c>
      <x:c r="M179" s="33" t="str">
        <x:v>Teleostei</x:v>
      </x:c>
    </x:row>
    <x:row r="180">
      <x:c r="A180" s="33" t="str">
        <x:v>Family</x:v>
      </x:c>
      <x:c r="B180" s="33" t="str">
        <x:v>Genus</x:v>
      </x:c>
      <x:c r="C180" s="33" t="str">
        <x:v>Chelidonichthys</x:v>
      </x:c>
      <x:c r="D180" s="33" t="str">
        <x:v>Chelidonichthys cuculus</x:v>
      </x:c>
      <x:c r="E180" s="59" t="n">
        <x:v>8.2</x:v>
      </x:c>
      <x:c r="F180" s="59"/>
      <x:c r="G180" s="59" t="str">
        <x:f>IF(F180="","",F180-E180)</x:f>
      </x:c>
      <x:c r="H180" s="59" t="str">
        <x:f>IF(G180="","",ABS(G180))</x:f>
      </x:c>
      <x:c r="I180" s="60" t="str">
        <x:f>IF(G180="","",ABS(G180/E180)*100)</x:f>
      </x:c>
      <x:c r="J180" s="33" t="str">
        <x:v>Chelidonichthys</x:v>
      </x:c>
      <x:c r="K180" s="33" t="str">
        <x:v>Triglidae</x:v>
      </x:c>
      <x:c r="L180" s="33" t="str">
        <x:v>Unclassified teleosts</x:v>
      </x:c>
      <x:c r="M180" s="33" t="str">
        <x:v>Teleostei</x:v>
      </x:c>
    </x:row>
    <x:row r="181">
      <x:c r="A181" s="33" t="str">
        <x:v>Family</x:v>
      </x:c>
      <x:c r="B181" s="33" t="str">
        <x:v>Genus</x:v>
      </x:c>
      <x:c r="C181" s="33" t="str">
        <x:v>Dicentrarchus</x:v>
      </x:c>
      <x:c r="D181" s="33" t="str">
        <x:v>Dicentrarchus labrax</x:v>
      </x:c>
      <x:c r="E181" s="59" t="n">
        <x:v>6</x:v>
      </x:c>
      <x:c r="F181" s="59"/>
      <x:c r="G181" s="59" t="str">
        <x:f>IF(F181="","",F181-E181)</x:f>
      </x:c>
      <x:c r="H181" s="59" t="str">
        <x:f>IF(G181="","",ABS(G181))</x:f>
      </x:c>
      <x:c r="I181" s="60" t="str">
        <x:f>IF(G181="","",ABS(G181/E181)*100)</x:f>
      </x:c>
      <x:c r="J181" s="33" t="str">
        <x:v>Dicentrarchus</x:v>
      </x:c>
      <x:c r="K181" s="33" t="str">
        <x:v>Moronidae</x:v>
      </x:c>
      <x:c r="L181" s="33" t="str">
        <x:v>Unclassified teleosts</x:v>
      </x:c>
      <x:c r="M181" s="33" t="str">
        <x:v>Teleostei</x:v>
      </x:c>
    </x:row>
    <x:row r="182">
      <x:c r="A182" s="33" t="str">
        <x:v>Family</x:v>
      </x:c>
      <x:c r="B182" s="33" t="str">
        <x:v>Genus</x:v>
      </x:c>
      <x:c r="C182" s="33" t="str">
        <x:v>Trachurus</x:v>
      </x:c>
      <x:c r="D182" s="33" t="str">
        <x:v>Trachurus trachurus</x:v>
      </x:c>
      <x:c r="E182" s="59" t="n">
        <x:v>6</x:v>
      </x:c>
      <x:c r="F182" s="59"/>
      <x:c r="G182" s="59" t="str">
        <x:f>IF(F182="","",F182-E182)</x:f>
      </x:c>
      <x:c r="H182" s="59" t="str">
        <x:f>IF(G182="","",ABS(G182))</x:f>
      </x:c>
      <x:c r="I182" s="60" t="str">
        <x:f>IF(G182="","",ABS(G182/E182)*100)</x:f>
      </x:c>
      <x:c r="J182" s="33" t="str">
        <x:v>Trachurus</x:v>
      </x:c>
      <x:c r="K182" s="33" t="str">
        <x:v>Carangidae</x:v>
      </x:c>
      <x:c r="L182" s="33" t="str">
        <x:v>Unclassified teleosts</x:v>
      </x:c>
      <x:c r="M182" s="33" t="str">
        <x:v>Teleostei</x:v>
      </x:c>
    </x:row>
    <x:row r="183">
      <x:c r="A183" s="33" t="str">
        <x:v>Family</x:v>
      </x:c>
      <x:c r="B183" s="33" t="str">
        <x:v>Genus</x:v>
      </x:c>
      <x:c r="C183" s="33" t="str">
        <x:v>Spondyliosoma</x:v>
      </x:c>
      <x:c r="D183" s="33" t="str">
        <x:v>Spondyliosoma cantharus</x:v>
      </x:c>
      <x:c r="E183" s="59" t="n">
        <x:v>6.9</x:v>
      </x:c>
      <x:c r="F183" s="59" t="n">
        <x:v>6.984999999999999</x:v>
      </x:c>
      <x:c r="G183" s="59" t="n">
        <x:f>IF(F183="","",F183-E183)</x:f>
        <x:v>0.08499999999999908</x:v>
      </x:c>
      <x:c r="H183" s="59" t="n">
        <x:f>IF(G183="","",ABS(G183))</x:f>
        <x:v>0.08499999999999908</x:v>
      </x:c>
      <x:c r="I183" s="60" t="n">
        <x:f>IF(G183="","",ABS(G183/E183)*100)</x:f>
        <x:v>1.231884057971001</x:v>
      </x:c>
      <x:c r="J183" s="33" t="str">
        <x:v>Spondyliosoma</x:v>
      </x:c>
      <x:c r="K183" s="33" t="str">
        <x:v>Sparidae</x:v>
      </x:c>
      <x:c r="L183" s="33" t="str">
        <x:v>Unclassified teleosts</x:v>
      </x:c>
      <x:c r="M183" s="33" t="str">
        <x:v>Teleostei</x:v>
      </x:c>
    </x:row>
    <x:row r="184">
      <x:c r="A184" s="33" t="str">
        <x:v>Family</x:v>
      </x:c>
      <x:c r="B184" s="33" t="str">
        <x:v>Genus</x:v>
      </x:c>
      <x:c r="C184" s="33" t="str">
        <x:v>Boops</x:v>
      </x:c>
      <x:c r="D184" s="33" t="str">
        <x:v>Boops boops</x:v>
      </x:c>
      <x:c r="E184" s="59" t="n">
        <x:v>8</x:v>
      </x:c>
      <x:c r="F184" s="59" t="n">
        <x:v>6.4350000000000005</x:v>
      </x:c>
      <x:c r="G184" s="59" t="n">
        <x:f>IF(F184="","",F184-E184)</x:f>
        <x:v>-1.5649999999999995</x:v>
      </x:c>
      <x:c r="H184" s="59" t="n">
        <x:f>IF(G184="","",ABS(G184))</x:f>
        <x:v>1.5649999999999995</x:v>
      </x:c>
      <x:c r="I184" s="60" t="n">
        <x:f>IF(G184="","",ABS(G184/E184)*100)</x:f>
        <x:v>19.562499999999993</x:v>
      </x:c>
      <x:c r="J184" s="33" t="str">
        <x:v>Boops</x:v>
      </x:c>
      <x:c r="K184" s="33" t="str">
        <x:v>Sparidae</x:v>
      </x:c>
      <x:c r="L184" s="33" t="str">
        <x:v>Unclassified teleosts</x:v>
      </x:c>
      <x:c r="M184" s="33" t="str">
        <x:v>Teleostei</x:v>
      </x:c>
    </x:row>
    <x:row r="185">
      <x:c r="A185" s="33" t="str">
        <x:v>Family</x:v>
      </x:c>
      <x:c r="B185" s="33" t="str">
        <x:v>Genus</x:v>
      </x:c>
      <x:c r="C185" s="33" t="str">
        <x:v>Pagellus</x:v>
      </x:c>
      <x:c r="D185" s="33" t="str">
        <x:v>Pagellus acarne</x:v>
      </x:c>
      <x:c r="E185" s="59" t="n">
        <x:v>9.4</x:v>
      </x:c>
      <x:c r="F185" s="59" t="n">
        <x:v>6.4350000000000005</x:v>
      </x:c>
      <x:c r="G185" s="59" t="n">
        <x:f>IF(F185="","",F185-E185)</x:f>
        <x:v>-2.965</x:v>
      </x:c>
      <x:c r="H185" s="59" t="n">
        <x:f>IF(G185="","",ABS(G185))</x:f>
        <x:v>2.965</x:v>
      </x:c>
      <x:c r="I185" s="60" t="n">
        <x:f>IF(G185="","",ABS(G185/E185)*100)</x:f>
        <x:v>31.542553191489358</x:v>
      </x:c>
      <x:c r="J185" s="33" t="str">
        <x:v>Pagellus</x:v>
      </x:c>
      <x:c r="K185" s="33" t="str">
        <x:v>Sparidae</x:v>
      </x:c>
      <x:c r="L185" s="33" t="str">
        <x:v>Unclassified teleosts</x:v>
      </x:c>
      <x:c r="M185" s="33" t="str">
        <x:v>Teleostei</x:v>
      </x:c>
    </x:row>
    <x:row r="186">
      <x:c r="A186" s="33" t="str">
        <x:v>Family</x:v>
      </x:c>
      <x:c r="B186" s="33" t="str">
        <x:v>Genus</x:v>
      </x:c>
      <x:c r="C186" s="33" t="str">
        <x:v>Mullus</x:v>
      </x:c>
      <x:c r="D186" s="33" t="str">
        <x:v>Mullus surmuletus</x:v>
      </x:c>
      <x:c r="E186" s="59" t="n">
        <x:v>6.4</x:v>
      </x:c>
      <x:c r="F186" s="59"/>
      <x:c r="G186" s="59" t="str">
        <x:f>IF(F186="","",F186-E186)</x:f>
      </x:c>
      <x:c r="H186" s="59" t="str">
        <x:f>IF(G186="","",ABS(G186))</x:f>
      </x:c>
      <x:c r="I186" s="60" t="str">
        <x:f>IF(G186="","",ABS(G186/E186)*100)</x:f>
      </x:c>
      <x:c r="J186" s="33" t="str">
        <x:v>Mullus</x:v>
      </x:c>
      <x:c r="K186" s="33" t="str">
        <x:v>Mullidae</x:v>
      </x:c>
      <x:c r="L186" s="33" t="str">
        <x:v>Unclassified teleosts</x:v>
      </x:c>
      <x:c r="M186" s="33" t="str">
        <x:v>Teleostei</x:v>
      </x:c>
    </x:row>
    <x:row r="187">
      <x:c r="A187" s="33" t="str">
        <x:v>Family</x:v>
      </x:c>
      <x:c r="B187" s="33" t="str">
        <x:v>Genus</x:v>
      </x:c>
      <x:c r="C187" s="33" t="str">
        <x:v>Cepola</x:v>
      </x:c>
      <x:c r="D187" s="33" t="str">
        <x:v>Cepola macrophthalma</x:v>
      </x:c>
      <x:c r="E187" s="59" t="n">
        <x:v>3.9</x:v>
      </x:c>
      <x:c r="F187" s="59"/>
      <x:c r="G187" s="59" t="str">
        <x:f>IF(F187="","",F187-E187)</x:f>
      </x:c>
      <x:c r="H187" s="59" t="str">
        <x:f>IF(G187="","",ABS(G187))</x:f>
      </x:c>
      <x:c r="I187" s="60" t="str">
        <x:f>IF(G187="","",ABS(G187/E187)*100)</x:f>
      </x:c>
      <x:c r="J187" s="33" t="str">
        <x:v>Cepola</x:v>
      </x:c>
      <x:c r="K187" s="33" t="str">
        <x:v>Cepolidae</x:v>
      </x:c>
      <x:c r="L187" s="33" t="str">
        <x:v>Unclassified teleosts</x:v>
      </x:c>
      <x:c r="M187" s="33" t="str">
        <x:v>Teleostei</x:v>
      </x:c>
    </x:row>
    <x:row r="188">
      <x:c r="A188" s="33" t="str">
        <x:v>Family</x:v>
      </x:c>
      <x:c r="B188" s="33" t="str">
        <x:v>Genus</x:v>
      </x:c>
      <x:c r="C188" s="33" t="str">
        <x:v>Liza</x:v>
      </x:c>
      <x:c r="D188" s="33" t="str">
        <x:v>Liza ramada</x:v>
      </x:c>
      <x:c r="E188" s="59" t="n">
        <x:v>6.5</x:v>
      </x:c>
      <x:c r="F188" s="59" t="n">
        <x:v>6.14</x:v>
      </x:c>
      <x:c r="G188" s="59" t="n">
        <x:f>IF(F188="","",F188-E188)</x:f>
        <x:v>-0.3600000000000003</x:v>
      </x:c>
      <x:c r="H188" s="59" t="n">
        <x:f>IF(G188="","",ABS(G188))</x:f>
        <x:v>0.3600000000000003</x:v>
      </x:c>
      <x:c r="I188" s="60" t="n">
        <x:f>IF(G188="","",ABS(G188/E188)*100)</x:f>
        <x:v>5.538461538461544</x:v>
      </x:c>
      <x:c r="J188" s="33" t="str">
        <x:v>Liza</x:v>
      </x:c>
      <x:c r="K188" s="33" t="str">
        <x:v>Mugilidae</x:v>
      </x:c>
      <x:c r="L188" s="33" t="str">
        <x:v>Unclassified teleosts</x:v>
      </x:c>
      <x:c r="M188" s="33" t="str">
        <x:v>Teleostei</x:v>
      </x:c>
    </x:row>
    <x:row r="189">
      <x:c r="A189" s="33" t="str">
        <x:v>Family</x:v>
      </x:c>
      <x:c r="B189" s="33" t="str">
        <x:v>Genus</x:v>
      </x:c>
      <x:c r="C189" s="33" t="str">
        <x:v>Labrus</x:v>
      </x:c>
      <x:c r="D189" s="33" t="str">
        <x:v>Labrus bergylta</x:v>
      </x:c>
      <x:c r="E189" s="59" t="n">
        <x:v>5.4</x:v>
      </x:c>
      <x:c r="F189" s="59"/>
      <x:c r="G189" s="59" t="str">
        <x:f>IF(F189="","",F189-E189)</x:f>
      </x:c>
      <x:c r="H189" s="59" t="str">
        <x:f>IF(G189="","",ABS(G189))</x:f>
      </x:c>
      <x:c r="I189" s="60" t="str">
        <x:f>IF(G189="","",ABS(G189/E189)*100)</x:f>
      </x:c>
      <x:c r="J189" s="33" t="str">
        <x:v>Labrus</x:v>
      </x:c>
      <x:c r="K189" s="33" t="str">
        <x:v>Labridae</x:v>
      </x:c>
      <x:c r="L189" s="33" t="str">
        <x:v>Unclassified teleosts</x:v>
      </x:c>
      <x:c r="M189" s="33" t="str">
        <x:v>Teleostei</x:v>
      </x:c>
    </x:row>
    <x:row r="190">
      <x:c r="A190" s="33" t="str">
        <x:v>Family</x:v>
      </x:c>
      <x:c r="B190" s="33" t="str">
        <x:v>Genus</x:v>
      </x:c>
      <x:c r="C190" s="33" t="str">
        <x:v>Hyperoplus</x:v>
      </x:c>
      <x:c r="D190" s="33" t="str">
        <x:v>Hyperoplus lanceolatus</x:v>
      </x:c>
      <x:c r="E190" s="59" t="n">
        <x:v>4.8</x:v>
      </x:c>
      <x:c r="F190" s="59" t="n">
        <x:v>5.8</x:v>
      </x:c>
      <x:c r="G190" s="59" t="n">
        <x:f>IF(F190="","",F190-E190)</x:f>
        <x:v>1</x:v>
      </x:c>
      <x:c r="H190" s="59" t="n">
        <x:f>IF(G190="","",ABS(G190))</x:f>
        <x:v>1</x:v>
      </x:c>
      <x:c r="I190" s="60" t="n">
        <x:f>IF(G190="","",ABS(G190/E190)*100)</x:f>
        <x:v>20.833333333333336</x:v>
      </x:c>
      <x:c r="J190" s="33" t="str">
        <x:v>Hyperoplus</x:v>
      </x:c>
      <x:c r="K190" s="33" t="str">
        <x:v>Ammodytidae</x:v>
      </x:c>
      <x:c r="L190" s="33" t="str">
        <x:v>Small pelagic forage fishes</x:v>
      </x:c>
      <x:c r="M190" s="33" t="str">
        <x:v>Teleostei</x:v>
      </x:c>
    </x:row>
    <x:row r="191">
      <x:c r="A191" s="33" t="str">
        <x:v>Family</x:v>
      </x:c>
      <x:c r="B191" s="33" t="str">
        <x:v>Genus</x:v>
      </x:c>
      <x:c r="C191" s="33" t="str">
        <x:v>Ammodytes</x:v>
      </x:c>
      <x:c r="D191" s="33" t="str">
        <x:v>Ammodytes tobianus</x:v>
      </x:c>
      <x:c r="E191" s="59" t="n">
        <x:v>5.8</x:v>
      </x:c>
      <x:c r="F191" s="59" t="n">
        <x:v>4.8</x:v>
      </x:c>
      <x:c r="G191" s="59" t="n">
        <x:f>IF(F191="","",F191-E191)</x:f>
        <x:v>-1</x:v>
      </x:c>
      <x:c r="H191" s="59" t="n">
        <x:f>IF(G191="","",ABS(G191))</x:f>
        <x:v>1</x:v>
      </x:c>
      <x:c r="I191" s="60" t="n">
        <x:f>IF(G191="","",ABS(G191/E191)*100)</x:f>
        <x:v>17.24137931034483</x:v>
      </x:c>
      <x:c r="J191" s="33" t="str">
        <x:v>Ammodytes</x:v>
      </x:c>
      <x:c r="K191" s="33" t="str">
        <x:v>Ammodytidae</x:v>
      </x:c>
      <x:c r="L191" s="33" t="str">
        <x:v>Small pelagic forage fishes</x:v>
      </x:c>
      <x:c r="M191" s="33" t="str">
        <x:v>Teleostei</x:v>
      </x:c>
    </x:row>
    <x:row r="192">
      <x:c r="A192" s="33" t="str">
        <x:v>Family</x:v>
      </x:c>
      <x:c r="B192" s="33" t="str">
        <x:v>Genus</x:v>
      </x:c>
      <x:c r="C192" s="33" t="str">
        <x:v>Trachinus</x:v>
      </x:c>
      <x:c r="D192" s="33" t="str">
        <x:v>Trachinus draco</x:v>
      </x:c>
      <x:c r="E192" s="59" t="n">
        <x:v>5.3</x:v>
      </x:c>
      <x:c r="F192" s="59"/>
      <x:c r="G192" s="59" t="str">
        <x:f>IF(F192="","",F192-E192)</x:f>
      </x:c>
      <x:c r="H192" s="59" t="str">
        <x:f>IF(G192="","",ABS(G192))</x:f>
      </x:c>
      <x:c r="I192" s="60" t="str">
        <x:f>IF(G192="","",ABS(G192/E192)*100)</x:f>
      </x:c>
      <x:c r="J192" s="33" t="str">
        <x:v>Trachinus</x:v>
      </x:c>
      <x:c r="K192" s="33" t="str">
        <x:v>Trachinidae</x:v>
      </x:c>
      <x:c r="L192" s="33" t="str">
        <x:v>Unclassified teleosts</x:v>
      </x:c>
      <x:c r="M192" s="33" t="str">
        <x:v>Teleostei</x:v>
      </x:c>
    </x:row>
    <x:row r="193">
      <x:c r="A193" s="33" t="str">
        <x:v>Family</x:v>
      </x:c>
      <x:c r="B193" s="33" t="str">
        <x:v>Genus</x:v>
      </x:c>
      <x:c r="C193" s="33" t="str">
        <x:v>Paralipophrys</x:v>
      </x:c>
      <x:c r="D193" s="33" t="str">
        <x:v>Paralipophrys trigloides</x:v>
      </x:c>
      <x:c r="E193" s="59" t="n">
        <x:v>5.5</x:v>
      </x:c>
      <x:c r="F193" s="59"/>
      <x:c r="G193" s="59" t="str">
        <x:f>IF(F193="","",F193-E193)</x:f>
      </x:c>
      <x:c r="H193" s="59" t="str">
        <x:f>IF(G193="","",ABS(G193))</x:f>
      </x:c>
      <x:c r="I193" s="60" t="str">
        <x:f>IF(G193="","",ABS(G193/E193)*100)</x:f>
      </x:c>
      <x:c r="J193" s="33" t="str">
        <x:v>Paralipophrys</x:v>
      </x:c>
      <x:c r="K193" s="33" t="str">
        <x:v>Blenniidae</x:v>
      </x:c>
      <x:c r="L193" s="33" t="str">
        <x:v>Unclassified teleosts</x:v>
      </x:c>
      <x:c r="M193" s="33" t="str">
        <x:v>Teleostei</x:v>
      </x:c>
    </x:row>
    <x:row r="194">
      <x:c r="A194" s="33" t="str">
        <x:v>Family</x:v>
      </x:c>
      <x:c r="B194" s="33" t="str">
        <x:v>Genus</x:v>
      </x:c>
      <x:c r="C194" s="33" t="str">
        <x:v>Callionymus</x:v>
      </x:c>
      <x:c r="D194" s="33" t="str">
        <x:v>Callionymus lyra</x:v>
      </x:c>
      <x:c r="E194" s="59" t="n">
        <x:v>5.2</x:v>
      </x:c>
      <x:c r="F194" s="59"/>
      <x:c r="G194" s="59" t="str">
        <x:f>IF(F194="","",F194-E194)</x:f>
      </x:c>
      <x:c r="H194" s="59" t="str">
        <x:f>IF(G194="","",ABS(G194))</x:f>
      </x:c>
      <x:c r="I194" s="60" t="str">
        <x:f>IF(G194="","",ABS(G194/E194)*100)</x:f>
      </x:c>
      <x:c r="J194" s="33" t="str">
        <x:v>Callionymus</x:v>
      </x:c>
      <x:c r="K194" s="33" t="str">
        <x:v>Callionymidae</x:v>
      </x:c>
      <x:c r="L194" s="33" t="str">
        <x:v>Unclassified teleosts</x:v>
      </x:c>
      <x:c r="M194" s="33" t="str">
        <x:v>Teleostei</x:v>
      </x:c>
    </x:row>
    <x:row r="195">
      <x:c r="A195" s="33" t="str">
        <x:v>Family</x:v>
      </x:c>
      <x:c r="B195" s="33" t="str">
        <x:v>Genus</x:v>
      </x:c>
      <x:c r="C195" s="33" t="str">
        <x:v>Lesueurigobius</x:v>
      </x:c>
      <x:c r="D195" s="33" t="str">
        <x:v>Lesueurigobius friesii</x:v>
      </x:c>
      <x:c r="E195" s="59" t="n">
        <x:v>5.6</x:v>
      </x:c>
      <x:c r="F195" s="59" t="n">
        <x:v>4.26</x:v>
      </x:c>
      <x:c r="G195" s="59" t="n">
        <x:f>IF(F195="","",F195-E195)</x:f>
        <x:v>-1.3399999999999999</x:v>
      </x:c>
      <x:c r="H195" s="59" t="n">
        <x:f>IF(G195="","",ABS(G195))</x:f>
        <x:v>1.3399999999999999</x:v>
      </x:c>
      <x:c r="I195" s="60" t="n">
        <x:f>IF(G195="","",ABS(G195/E195)*100)</x:f>
        <x:v>23.928571428571427</x:v>
      </x:c>
      <x:c r="J195" s="33" t="str">
        <x:v>Lesueurigobius</x:v>
      </x:c>
      <x:c r="K195" s="33" t="str">
        <x:v>Gobiidae</x:v>
      </x:c>
      <x:c r="L195" s="33" t="str">
        <x:v>Unclassified teleosts</x:v>
      </x:c>
      <x:c r="M195" s="33" t="str">
        <x:v>Teleostei</x:v>
      </x:c>
    </x:row>
    <x:row r="196">
      <x:c r="A196" s="33" t="str">
        <x:v>Family</x:v>
      </x:c>
      <x:c r="B196" s="33" t="str">
        <x:v>Genus</x:v>
      </x:c>
      <x:c r="C196" s="33" t="str">
        <x:v>Scomber</x:v>
      </x:c>
      <x:c r="D196" s="33" t="str">
        <x:v>Scomber scombrus</x:v>
      </x:c>
      <x:c r="E196" s="59" t="n">
        <x:v>6.815</x:v>
      </x:c>
      <x:c r="F196" s="59"/>
      <x:c r="G196" s="59" t="str">
        <x:f>IF(F196="","",F196-E196)</x:f>
      </x:c>
      <x:c r="H196" s="59" t="str">
        <x:f>IF(G196="","",ABS(G196))</x:f>
      </x:c>
      <x:c r="I196" s="60" t="str">
        <x:f>IF(G196="","",ABS(G196/E196)*100)</x:f>
      </x:c>
      <x:c r="J196" s="33" t="str">
        <x:v>Scomber</x:v>
      </x:c>
      <x:c r="K196" s="33" t="str">
        <x:v>Scombridae</x:v>
      </x:c>
      <x:c r="L196" s="33" t="str">
        <x:v>Small pelagic forage fishes</x:v>
      </x:c>
      <x:c r="M196" s="33" t="str">
        <x:v>Teleostei</x:v>
      </x:c>
    </x:row>
    <x:row r="197">
      <x:c r="A197" s="33" t="str">
        <x:v>Family</x:v>
      </x:c>
      <x:c r="B197" s="33" t="str">
        <x:v>Genus</x:v>
      </x:c>
      <x:c r="C197" s="33" t="str">
        <x:v>Lepidorhombus</x:v>
      </x:c>
      <x:c r="D197" s="33" t="str">
        <x:v>Lepidorhombus whiffiagonis</x:v>
      </x:c>
      <x:c r="E197" s="59" t="n">
        <x:v>6.1</x:v>
      </x:c>
      <x:c r="F197" s="59"/>
      <x:c r="G197" s="59" t="str">
        <x:f>IF(F197="","",F197-E197)</x:f>
      </x:c>
      <x:c r="H197" s="59" t="str">
        <x:f>IF(G197="","",ABS(G197))</x:f>
      </x:c>
      <x:c r="I197" s="60" t="str">
        <x:f>IF(G197="","",ABS(G197/E197)*100)</x:f>
      </x:c>
      <x:c r="J197" s="33" t="str">
        <x:v>Lepidorhombus</x:v>
      </x:c>
      <x:c r="K197" s="33" t="str">
        <x:v>Scophthalmidae</x:v>
      </x:c>
      <x:c r="L197" s="33" t="str">
        <x:v>Demersal flatfishes</x:v>
      </x:c>
      <x:c r="M197" s="33" t="str">
        <x:v>Teleostei</x:v>
      </x:c>
    </x:row>
    <x:row r="198">
      <x:c r="A198" s="33" t="str">
        <x:v>Family</x:v>
      </x:c>
      <x:c r="B198" s="33" t="str">
        <x:v>Genus</x:v>
      </x:c>
      <x:c r="C198" s="33" t="str">
        <x:v>Arnoglossus</x:v>
      </x:c>
      <x:c r="D198" s="33" t="str">
        <x:v>Arnoglossus imperialis</x:v>
      </x:c>
      <x:c r="E198" s="59" t="n">
        <x:v>5.4</x:v>
      </x:c>
      <x:c r="F198" s="59"/>
      <x:c r="G198" s="59" t="str">
        <x:f>IF(F198="","",F198-E198)</x:f>
      </x:c>
      <x:c r="H198" s="59" t="str">
        <x:f>IF(G198="","",ABS(G198))</x:f>
      </x:c>
      <x:c r="I198" s="60" t="str">
        <x:f>IF(G198="","",ABS(G198/E198)*100)</x:f>
      </x:c>
      <x:c r="J198" s="33" t="str">
        <x:v>Arnoglossus</x:v>
      </x:c>
      <x:c r="K198" s="33" t="str">
        <x:v>Bothidae</x:v>
      </x:c>
      <x:c r="L198" s="33" t="str">
        <x:v>Demersal flatfishes</x:v>
      </x:c>
      <x:c r="M198" s="33" t="str">
        <x:v>Teleostei</x:v>
      </x:c>
    </x:row>
    <x:row r="199">
      <x:c r="A199" s="33" t="str">
        <x:v>Family</x:v>
      </x:c>
      <x:c r="B199" s="33" t="str">
        <x:v>Genus</x:v>
      </x:c>
      <x:c r="C199" s="33" t="str">
        <x:v>Glyptocephalus</x:v>
      </x:c>
      <x:c r="D199" s="33" t="str">
        <x:v>Glyptocephalus cynoglossus</x:v>
      </x:c>
      <x:c r="E199" s="59" t="n">
        <x:v>5.6</x:v>
      </x:c>
      <x:c r="F199" s="59" t="n">
        <x:v>5.395</x:v>
      </x:c>
      <x:c r="G199" s="59" t="n">
        <x:f>IF(F199="","",F199-E199)</x:f>
        <x:v>-0.20500000000000007</x:v>
      </x:c>
      <x:c r="H199" s="59" t="n">
        <x:f>IF(G199="","",ABS(G199))</x:f>
        <x:v>0.20500000000000007</x:v>
      </x:c>
      <x:c r="I199" s="60" t="n">
        <x:f>IF(G199="","",ABS(G199/E199)*100)</x:f>
        <x:v>3.6607142857142874</x:v>
      </x:c>
      <x:c r="J199" s="33" t="str">
        <x:v>Glyptocephalus</x:v>
      </x:c>
      <x:c r="K199" s="33" t="str">
        <x:v>Pleuronectidae</x:v>
      </x:c>
      <x:c r="L199" s="33" t="str">
        <x:v>Demersal flatfishes</x:v>
      </x:c>
      <x:c r="M199" s="33" t="str">
        <x:v>Teleostei</x:v>
      </x:c>
    </x:row>
    <x:row r="200">
      <x:c r="A200" s="33" t="str">
        <x:v>Family</x:v>
      </x:c>
      <x:c r="B200" s="33" t="str">
        <x:v>Genus</x:v>
      </x:c>
      <x:c r="C200" s="33" t="str">
        <x:v>Microstomus</x:v>
      </x:c>
      <x:c r="D200" s="33" t="str">
        <x:v>Microstomus kitt</x:v>
      </x:c>
      <x:c r="E200" s="59" t="n">
        <x:v>5.8</x:v>
      </x:c>
      <x:c r="F200" s="59" t="n">
        <x:v>5.295</x:v>
      </x:c>
      <x:c r="G200" s="59" t="n">
        <x:f>IF(F200="","",F200-E200)</x:f>
        <x:v>-0.5049999999999999</x:v>
      </x:c>
      <x:c r="H200" s="59" t="n">
        <x:f>IF(G200="","",ABS(G200))</x:f>
        <x:v>0.5049999999999999</x:v>
      </x:c>
      <x:c r="I200" s="60" t="n">
        <x:f>IF(G200="","",ABS(G200/E200)*100)</x:f>
        <x:v>8.706896551724135</x:v>
      </x:c>
      <x:c r="J200" s="33" t="str">
        <x:v>Microstomus</x:v>
      </x:c>
      <x:c r="K200" s="33" t="str">
        <x:v>Pleuronectidae</x:v>
      </x:c>
      <x:c r="L200" s="33" t="str">
        <x:v>Demersal flatfishes</x:v>
      </x:c>
      <x:c r="M200" s="33" t="str">
        <x:v>Teleostei</x:v>
      </x:c>
    </x:row>
    <x:row r="201">
      <x:c r="A201" s="33" t="str">
        <x:v>Family</x:v>
      </x:c>
      <x:c r="B201" s="33" t="str">
        <x:v>Genus</x:v>
      </x:c>
      <x:c r="C201" s="33" t="str">
        <x:v>Pleuronectes</x:v>
      </x:c>
      <x:c r="D201" s="33" t="str">
        <x:v>Pleuronectes platessa</x:v>
      </x:c>
      <x:c r="E201" s="59" t="n">
        <x:v>5.8</x:v>
      </x:c>
      <x:c r="F201" s="59" t="n">
        <x:v>5.295</x:v>
      </x:c>
      <x:c r="G201" s="59" t="n">
        <x:f>IF(F201="","",F201-E201)</x:f>
        <x:v>-0.5049999999999999</x:v>
      </x:c>
      <x:c r="H201" s="59" t="n">
        <x:f>IF(G201="","",ABS(G201))</x:f>
        <x:v>0.5049999999999999</x:v>
      </x:c>
      <x:c r="I201" s="60" t="n">
        <x:f>IF(G201="","",ABS(G201/E201)*100)</x:f>
        <x:v>8.706896551724135</x:v>
      </x:c>
      <x:c r="J201" s="33" t="str">
        <x:v>Pleuronectes</x:v>
      </x:c>
      <x:c r="K201" s="33" t="str">
        <x:v>Pleuronectidae</x:v>
      </x:c>
      <x:c r="L201" s="33" t="str">
        <x:v>Demersal flatfishes</x:v>
      </x:c>
      <x:c r="M201" s="33" t="str">
        <x:v>Teleostei</x:v>
      </x:c>
    </x:row>
    <x:row r="202">
      <x:c r="A202" s="33" t="str">
        <x:v>Family</x:v>
      </x:c>
      <x:c r="B202" s="33" t="str">
        <x:v>Genus</x:v>
      </x:c>
      <x:c r="C202" s="33" t="str">
        <x:v>Solea</x:v>
      </x:c>
      <x:c r="D202" s="33" t="str">
        <x:v>Solea solea</x:v>
      </x:c>
      <x:c r="E202" s="59" t="n">
        <x:v>5</x:v>
      </x:c>
      <x:c r="F202" s="59" t="n">
        <x:v>6.5</x:v>
      </x:c>
      <x:c r="G202" s="59" t="n">
        <x:f>IF(F202="","",F202-E202)</x:f>
        <x:v>1.5</x:v>
      </x:c>
      <x:c r="H202" s="59" t="n">
        <x:f>IF(G202="","",ABS(G202))</x:f>
        <x:v>1.5</x:v>
      </x:c>
      <x:c r="I202" s="60" t="n">
        <x:f>IF(G202="","",ABS(G202/E202)*100)</x:f>
        <x:v>30</x:v>
      </x:c>
      <x:c r="J202" s="33" t="str">
        <x:v>Solea</x:v>
      </x:c>
      <x:c r="K202" s="33" t="str">
        <x:v>Soleidae</x:v>
      </x:c>
      <x:c r="L202" s="33" t="str">
        <x:v>Demersal flatfishes</x:v>
      </x:c>
      <x:c r="M202" s="33" t="str">
        <x:v>Teleostei</x:v>
      </x:c>
    </x:row>
    <x:row r="203">
      <x:c r="A203" s="33" t="str">
        <x:v>Family</x:v>
      </x:c>
      <x:c r="B203" s="33" t="str">
        <x:v>Genus</x:v>
      </x:c>
      <x:c r="C203" s="33" t="str">
        <x:v>Dicologlossa</x:v>
      </x:c>
      <x:c r="D203" s="33" t="str">
        <x:v>Dicologlossa cuneata</x:v>
      </x:c>
      <x:c r="E203" s="59" t="n">
        <x:v>6.5</x:v>
      </x:c>
      <x:c r="F203" s="59" t="n">
        <x:v>5</x:v>
      </x:c>
      <x:c r="G203" s="59" t="n">
        <x:f>IF(F203="","",F203-E203)</x:f>
        <x:v>-1.5</x:v>
      </x:c>
      <x:c r="H203" s="59" t="n">
        <x:f>IF(G203="","",ABS(G203))</x:f>
        <x:v>1.5</x:v>
      </x:c>
      <x:c r="I203" s="60" t="n">
        <x:f>IF(G203="","",ABS(G203/E203)*100)</x:f>
        <x:v>23.076923076923077</x:v>
      </x:c>
      <x:c r="J203" s="33" t="str">
        <x:v>Dicologlossa</x:v>
      </x:c>
      <x:c r="K203" s="33" t="str">
        <x:v>Soleidae</x:v>
      </x:c>
      <x:c r="L203" s="33" t="str">
        <x:v>Demersal flatfishes</x:v>
      </x:c>
      <x:c r="M203" s="33" t="str">
        <x:v>Teleostei</x:v>
      </x:c>
    </x:row>
    <x:row r="204">
      <x:c r="A204" s="33" t="str">
        <x:v>Family</x:v>
      </x:c>
      <x:c r="B204" s="33" t="str">
        <x:v>Genus</x:v>
      </x:c>
      <x:c r="C204" s="33" t="str">
        <x:v>Aglaophamus</x:v>
      </x:c>
      <x:c r="D204" s="33" t="str">
        <x:v>Aglaophamus australiensis</x:v>
      </x:c>
      <x:c r="E204" s="59" t="n">
        <x:v>1.06</x:v>
      </x:c>
      <x:c r="F204" s="59"/>
      <x:c r="G204" s="59" t="str">
        <x:f>IF(F204="","",F204-E204)</x:f>
      </x:c>
      <x:c r="H204" s="59" t="str">
        <x:f>IF(G204="","",ABS(G204))</x:f>
      </x:c>
      <x:c r="I204" s="60" t="str">
        <x:f>IF(G204="","",ABS(G204/E204)*100)</x:f>
      </x:c>
      <x:c r="J204" s="33" t="str">
        <x:v>Aglaophamus</x:v>
      </x:c>
      <x:c r="K204" s="33" t="str">
        <x:v>Nephtyidae</x:v>
      </x:c>
      <x:c r="L204" s="33" t="str">
        <x:v>Other benthic polychaetes</x:v>
      </x:c>
      <x:c r="M204" s="33" t="str">
        <x:v>Annelida</x:v>
      </x:c>
    </x:row>
    <x:row r="205">
      <x:c r="A205" s="33" t="str">
        <x:v>Family</x:v>
      </x:c>
      <x:c r="B205" s="33" t="str">
        <x:v>Genus</x:v>
      </x:c>
      <x:c r="C205" s="33" t="str">
        <x:v>Australonereis</x:v>
      </x:c>
      <x:c r="D205" s="33" t="str">
        <x:v>Australonereis ehlersi</x:v>
      </x:c>
      <x:c r="E205" s="59" t="n">
        <x:v>1.28</x:v>
      </x:c>
      <x:c r="F205" s="59" t="n">
        <x:v>1.05</x:v>
      </x:c>
      <x:c r="G205" s="59" t="n">
        <x:f>IF(F205="","",F205-E205)</x:f>
        <x:v>-0.22999999999999998</x:v>
      </x:c>
      <x:c r="H205" s="59" t="n">
        <x:f>IF(G205="","",ABS(G205))</x:f>
        <x:v>0.22999999999999998</x:v>
      </x:c>
      <x:c r="I205" s="60" t="n">
        <x:f>IF(G205="","",ABS(G205/E205)*100)</x:f>
        <x:v>17.968749999999996</x:v>
      </x:c>
      <x:c r="J205" s="33" t="str">
        <x:v>Australonereis</x:v>
      </x:c>
      <x:c r="K205" s="33" t="str">
        <x:v>Nereididae</x:v>
      </x:c>
      <x:c r="L205" s="33" t="str">
        <x:v>Other benthic polychaetes</x:v>
      </x:c>
      <x:c r="M205" s="33" t="str">
        <x:v>Annelida</x:v>
      </x:c>
    </x:row>
    <x:row r="206">
      <x:c r="A206" s="33" t="str">
        <x:v>Family</x:v>
      </x:c>
      <x:c r="B206" s="33" t="str">
        <x:v>Genus</x:v>
      </x:c>
      <x:c r="C206" s="33" t="str">
        <x:v>Phyllodoce</x:v>
      </x:c>
      <x:c r="D206" s="33" t="str">
        <x:v>Phyllodoce novaehollandiae</x:v>
      </x:c>
      <x:c r="E206" s="59" t="n">
        <x:v>0.96</x:v>
      </x:c>
      <x:c r="F206" s="59"/>
      <x:c r="G206" s="59" t="str">
        <x:f>IF(F206="","",F206-E206)</x:f>
      </x:c>
      <x:c r="H206" s="59" t="str">
        <x:f>IF(G206="","",ABS(G206))</x:f>
      </x:c>
      <x:c r="I206" s="60" t="str">
        <x:f>IF(G206="","",ABS(G206/E206)*100)</x:f>
      </x:c>
      <x:c r="J206" s="33" t="str">
        <x:v>Phyllodoce</x:v>
      </x:c>
      <x:c r="K206" s="33" t="str">
        <x:v>Phyllodocidae</x:v>
      </x:c>
      <x:c r="L206" s="33" t="str">
        <x:v>Other benthic polychaetes</x:v>
      </x:c>
      <x:c r="M206" s="33" t="str">
        <x:v>Annelida</x:v>
      </x:c>
    </x:row>
    <x:row r="207">
      <x:c r="A207" s="33" t="str">
        <x:v>Family</x:v>
      </x:c>
      <x:c r="B207" s="33" t="str">
        <x:v>Genus</x:v>
      </x:c>
      <x:c r="C207" s="33" t="str">
        <x:v>Simplisetia</x:v>
      </x:c>
      <x:c r="D207" s="33" t="str">
        <x:v>Simplisetia aequisetis</x:v>
      </x:c>
      <x:c r="E207" s="59" t="n">
        <x:v>1.05</x:v>
      </x:c>
      <x:c r="F207" s="59" t="n">
        <x:v>1.28</x:v>
      </x:c>
      <x:c r="G207" s="59" t="n">
        <x:f>IF(F207="","",F207-E207)</x:f>
        <x:v>0.22999999999999998</x:v>
      </x:c>
      <x:c r="H207" s="59" t="n">
        <x:f>IF(G207="","",ABS(G207))</x:f>
        <x:v>0.22999999999999998</x:v>
      </x:c>
      <x:c r="I207" s="60" t="n">
        <x:f>IF(G207="","",ABS(G207/E207)*100)</x:f>
        <x:v>21.9047619047619</x:v>
      </x:c>
      <x:c r="J207" s="33" t="str">
        <x:v>Simplisetia</x:v>
      </x:c>
      <x:c r="K207" s="33" t="str">
        <x:v>Nereididae</x:v>
      </x:c>
      <x:c r="L207" s="33" t="str">
        <x:v>Other benthic polychaetes</x:v>
      </x:c>
      <x:c r="M207" s="33" t="str">
        <x:v>Annelida</x:v>
      </x:c>
    </x:row>
    <x:row r="208">
      <x:c r="A208" s="33" t="str">
        <x:v>Family</x:v>
      </x:c>
      <x:c r="B208" s="33" t="str">
        <x:v>Genus</x:v>
      </x:c>
      <x:c r="C208" s="33" t="str">
        <x:v>Ficopomatus</x:v>
      </x:c>
      <x:c r="D208" s="33" t="str">
        <x:v>Ficopomatus enigmaticus</x:v>
      </x:c>
      <x:c r="E208" s="59" t="n">
        <x:v>1.45</x:v>
      </x:c>
      <x:c r="F208" s="59"/>
      <x:c r="G208" s="59" t="str">
        <x:f>IF(F208="","",F208-E208)</x:f>
      </x:c>
      <x:c r="H208" s="59" t="str">
        <x:f>IF(G208="","",ABS(G208))</x:f>
      </x:c>
      <x:c r="I208" s="60" t="str">
        <x:f>IF(G208="","",ABS(G208/E208)*100)</x:f>
      </x:c>
      <x:c r="J208" s="33" t="str">
        <x:v>Ficopomatus</x:v>
      </x:c>
      <x:c r="K208" s="33" t="str">
        <x:v>Serpulidae</x:v>
      </x:c>
      <x:c r="L208" s="33" t="str">
        <x:v>Tube-dwelling polychaetes</x:v>
      </x:c>
      <x:c r="M208" s="33" t="str">
        <x:v>Annelida</x:v>
      </x:c>
    </x:row>
    <x:row r="209">
      <x:c r="A209" s="33" t="str">
        <x:v>Family</x:v>
      </x:c>
      <x:c r="B209" s="33" t="str">
        <x:v>Genus</x:v>
      </x:c>
      <x:c r="C209" s="33" t="str">
        <x:v>Hiatula</x:v>
      </x:c>
      <x:c r="D209" s="33" t="str">
        <x:v>Hiatula alba</x:v>
      </x:c>
      <x:c r="E209" s="59" t="n">
        <x:v>1.76</x:v>
      </x:c>
      <x:c r="F209" s="59"/>
      <x:c r="G209" s="59" t="str">
        <x:f>IF(F209="","",F209-E209)</x:f>
      </x:c>
      <x:c r="H209" s="59" t="str">
        <x:f>IF(G209="","",ABS(G209))</x:f>
      </x:c>
      <x:c r="I209" s="60" t="str">
        <x:f>IF(G209="","",ABS(G209/E209)*100)</x:f>
      </x:c>
      <x:c r="J209" s="33" t="str">
        <x:v>Hiatula</x:v>
      </x:c>
      <x:c r="K209" s="33"/>
      <x:c r="L209" s="33" t="str">
        <x:v>Subtidal benthic molluscs</x:v>
      </x:c>
      <x:c r="M209" s="33" t="str">
        <x:v>Mollusca (non-cephalopods)</x:v>
      </x:c>
    </x:row>
    <x:row r="210">
      <x:c r="A210" s="33" t="str">
        <x:v>Family</x:v>
      </x:c>
      <x:c r="B210" s="33" t="str">
        <x:v>Genus</x:v>
      </x:c>
      <x:c r="C210" s="33" t="str">
        <x:v>Spisula</x:v>
      </x:c>
      <x:c r="D210" s="33" t="str">
        <x:v>Spisula trigonella</x:v>
      </x:c>
      <x:c r="E210" s="59" t="n">
        <x:v>2.15</x:v>
      </x:c>
      <x:c r="F210" s="59"/>
      <x:c r="G210" s="59" t="str">
        <x:f>IF(F210="","",F210-E210)</x:f>
      </x:c>
      <x:c r="H210" s="59" t="str">
        <x:f>IF(G210="","",ABS(G210))</x:f>
      </x:c>
      <x:c r="I210" s="60" t="str">
        <x:f>IF(G210="","",ABS(G210/E210)*100)</x:f>
      </x:c>
      <x:c r="J210" s="33" t="str">
        <x:v>Spisula</x:v>
      </x:c>
      <x:c r="K210" s="33" t="str">
        <x:v>Mactridae</x:v>
      </x:c>
      <x:c r="L210" s="33" t="str">
        <x:v>Benthic bivalves</x:v>
      </x:c>
      <x:c r="M210" s="33" t="str">
        <x:v>Mollusca (non-cephalopods)</x:v>
      </x:c>
    </x:row>
    <x:row r="211">
      <x:c r="A211" s="33" t="str">
        <x:v>Family</x:v>
      </x:c>
      <x:c r="B211" s="33" t="str">
        <x:v>Genus</x:v>
      </x:c>
      <x:c r="C211" s="33" t="str">
        <x:v>Amarinus</x:v>
      </x:c>
      <x:c r="D211" s="33" t="str">
        <x:v>Amarinus laevis</x:v>
      </x:c>
      <x:c r="E211" s="59" t="n">
        <x:v>2.13</x:v>
      </x:c>
      <x:c r="F211" s="59"/>
      <x:c r="G211" s="59" t="str">
        <x:f>IF(F211="","",F211-E211)</x:f>
      </x:c>
      <x:c r="H211" s="59" t="str">
        <x:f>IF(G211="","",ABS(G211))</x:f>
      </x:c>
      <x:c r="I211" s="60" t="str">
        <x:f>IF(G211="","",ABS(G211/E211)*100)</x:f>
      </x:c>
      <x:c r="J211" s="33" t="str">
        <x:v>Amarinus</x:v>
      </x:c>
      <x:c r="K211" s="33" t="str">
        <x:v>Hymenosomatidae</x:v>
      </x:c>
      <x:c r="L211" s="33" t="str">
        <x:v>Benthic decapods</x:v>
      </x:c>
      <x:c r="M211" s="33" t="str">
        <x:v>Crustacea</x:v>
      </x:c>
    </x:row>
    <x:row r="212">
      <x:c r="A212" s="33" t="str">
        <x:v>Family</x:v>
      </x:c>
      <x:c r="B212" s="33" t="str">
        <x:v>Genus</x:v>
      </x:c>
      <x:c r="C212" s="33" t="str">
        <x:v>Paragrapsus</x:v>
      </x:c>
      <x:c r="D212" s="33" t="str">
        <x:v>Paragrapsus gaimardii</x:v>
      </x:c>
      <x:c r="E212" s="59" t="n">
        <x:v>3.64</x:v>
      </x:c>
      <x:c r="F212" s="59"/>
      <x:c r="G212" s="59" t="str">
        <x:f>IF(F212="","",F212-E212)</x:f>
      </x:c>
      <x:c r="H212" s="59" t="str">
        <x:f>IF(G212="","",ABS(G212))</x:f>
      </x:c>
      <x:c r="I212" s="60" t="str">
        <x:f>IF(G212="","",ABS(G212/E212)*100)</x:f>
      </x:c>
      <x:c r="J212" s="33" t="str">
        <x:v>Paragrapsus</x:v>
      </x:c>
      <x:c r="K212" s="33" t="str">
        <x:v>Varunidae</x:v>
      </x:c>
      <x:c r="L212" s="33" t="str">
        <x:v>Benthic decapods</x:v>
      </x:c>
      <x:c r="M212" s="33" t="str">
        <x:v>Crustacea</x:v>
      </x:c>
    </x:row>
    <x:row r="213">
      <x:c r="A213" s="33" t="str">
        <x:v>Family</x:v>
      </x:c>
      <x:c r="B213" s="33" t="str">
        <x:v>Genus</x:v>
      </x:c>
      <x:c r="C213" s="33" t="str">
        <x:v>Hyporhamphus</x:v>
      </x:c>
      <x:c r="D213" s="33" t="str">
        <x:v>Hyporhamphus regularis</x:v>
      </x:c>
      <x:c r="E213" s="59" t="n">
        <x:v>5.83</x:v>
      </x:c>
      <x:c r="F213" s="59"/>
      <x:c r="G213" s="59" t="str">
        <x:f>IF(F213="","",F213-E213)</x:f>
      </x:c>
      <x:c r="H213" s="59" t="str">
        <x:f>IF(G213="","",ABS(G213))</x:f>
      </x:c>
      <x:c r="I213" s="60" t="str">
        <x:f>IF(G213="","",ABS(G213/E213)*100)</x:f>
      </x:c>
      <x:c r="J213" s="33" t="str">
        <x:v>Hyporhamphus</x:v>
      </x:c>
      <x:c r="K213" s="33" t="str">
        <x:v>Hemiramphidae</x:v>
      </x:c>
      <x:c r="L213" s="33" t="str">
        <x:v>Coastal surface-dwelling fishes</x:v>
      </x:c>
      <x:c r="M213" s="33" t="str">
        <x:v>Teleostei</x:v>
      </x:c>
    </x:row>
    <x:row r="214">
      <x:c r="A214" s="33" t="str">
        <x:v>Family</x:v>
      </x:c>
      <x:c r="B214" s="33" t="str">
        <x:v>Genus</x:v>
      </x:c>
      <x:c r="C214" s="33" t="str">
        <x:v>Hyperlophus</x:v>
      </x:c>
      <x:c r="D214" s="33" t="str">
        <x:v>Hyperlophus vittatus</x:v>
      </x:c>
      <x:c r="E214" s="59" t="n">
        <x:v>4.4399999999999995</x:v>
      </x:c>
      <x:c r="F214" s="59" t="n">
        <x:v>6.995</x:v>
      </x:c>
      <x:c r="G214" s="59" t="n">
        <x:f>IF(F214="","",F214-E214)</x:f>
        <x:v>2.5550000000000006</x:v>
      </x:c>
      <x:c r="H214" s="59" t="n">
        <x:f>IF(G214="","",ABS(G214))</x:f>
        <x:v>2.5550000000000006</x:v>
      </x:c>
      <x:c r="I214" s="60" t="n">
        <x:f>IF(G214="","",ABS(G214/E214)*100)</x:f>
        <x:v>57.545045045045065</x:v>
      </x:c>
      <x:c r="J214" s="33" t="str">
        <x:v>Hyperlophus</x:v>
      </x:c>
      <x:c r="K214" s="33" t="str">
        <x:v>Clupeidae</x:v>
      </x:c>
      <x:c r="L214" s="33" t="str">
        <x:v>Small pelagic forage fishes</x:v>
      </x:c>
      <x:c r="M214" s="33" t="str">
        <x:v>Teleostei</x:v>
      </x:c>
    </x:row>
    <x:row r="215">
      <x:c r="A215" s="33" t="str">
        <x:v>Family</x:v>
      </x:c>
      <x:c r="B215" s="33" t="str">
        <x:v>Genus</x:v>
      </x:c>
      <x:c r="C215" s="33" t="str">
        <x:v>Afurcagobius</x:v>
      </x:c>
      <x:c r="D215" s="33" t="str">
        <x:v>Afurcagobius tamarensis</x:v>
      </x:c>
      <x:c r="E215" s="59" t="n">
        <x:v>5</x:v>
      </x:c>
      <x:c r="F215" s="59" t="n">
        <x:v>4.26</x:v>
      </x:c>
      <x:c r="G215" s="59" t="n">
        <x:f>IF(F215="","",F215-E215)</x:f>
        <x:v>-0.7400000000000002</x:v>
      </x:c>
      <x:c r="H215" s="59" t="n">
        <x:f>IF(G215="","",ABS(G215))</x:f>
        <x:v>0.7400000000000002</x:v>
      </x:c>
      <x:c r="I215" s="60" t="n">
        <x:f>IF(G215="","",ABS(G215/E215)*100)</x:f>
        <x:v>14.800000000000004</x:v>
      </x:c>
      <x:c r="J215" s="33" t="str">
        <x:v>Afurcagobius</x:v>
      </x:c>
      <x:c r="K215" s="33" t="str">
        <x:v>Gobiidae</x:v>
      </x:c>
      <x:c r="L215" s="33" t="str">
        <x:v>Small demersal zoobenthivorous fishes</x:v>
      </x:c>
      <x:c r="M215" s="33" t="str">
        <x:v>Teleostei</x:v>
      </x:c>
    </x:row>
    <x:row r="216">
      <x:c r="A216" s="33" t="str">
        <x:v>Family</x:v>
      </x:c>
      <x:c r="B216" s="33" t="str">
        <x:v>Genus</x:v>
      </x:c>
      <x:c r="C216" s="33" t="str">
        <x:v>Tasmanogobius</x:v>
      </x:c>
      <x:c r="D216" s="33" t="str">
        <x:v>Tasmanogobius lasti</x:v>
      </x:c>
      <x:c r="E216" s="59" t="n">
        <x:v>5.64</x:v>
      </x:c>
      <x:c r="F216" s="59" t="n">
        <x:v>4.26</x:v>
      </x:c>
      <x:c r="G216" s="59" t="n">
        <x:f>IF(F216="","",F216-E216)</x:f>
        <x:v>-1.38</x:v>
      </x:c>
      <x:c r="H216" s="59" t="n">
        <x:f>IF(G216="","",ABS(G216))</x:f>
        <x:v>1.38</x:v>
      </x:c>
      <x:c r="I216" s="60" t="n">
        <x:f>IF(G216="","",ABS(G216/E216)*100)</x:f>
        <x:v>24.46808510638298</x:v>
      </x:c>
      <x:c r="J216" s="33" t="str">
        <x:v>Tasmanogobius</x:v>
      </x:c>
      <x:c r="K216" s="33" t="str">
        <x:v>Gobiidae</x:v>
      </x:c>
      <x:c r="L216" s="33" t="str">
        <x:v>Small demersal zoobenthivorous fishes</x:v>
      </x:c>
      <x:c r="M216" s="33" t="str">
        <x:v>Teleostei</x:v>
      </x:c>
    </x:row>
    <x:row r="217">
      <x:c r="A217" s="33" t="str">
        <x:v>Family</x:v>
      </x:c>
      <x:c r="B217" s="33" t="str">
        <x:v>Genus</x:v>
      </x:c>
      <x:c r="C217" s="33" t="str">
        <x:v>Pseudaphritis</x:v>
      </x:c>
      <x:c r="D217" s="33" t="str">
        <x:v>Pseudaphritis urvillii</x:v>
      </x:c>
      <x:c r="E217" s="59" t="n">
        <x:v>6.35</x:v>
      </x:c>
      <x:c r="F217" s="59"/>
      <x:c r="G217" s="59" t="str">
        <x:f>IF(F217="","",F217-E217)</x:f>
      </x:c>
      <x:c r="H217" s="59" t="str">
        <x:f>IF(G217="","",ABS(G217))</x:f>
      </x:c>
      <x:c r="I217" s="60" t="str">
        <x:f>IF(G217="","",ABS(G217/E217)*100)</x:f>
      </x:c>
      <x:c r="J217" s="33" t="str">
        <x:v>Pseudaphritis</x:v>
      </x:c>
      <x:c r="K217" s="33" t="str">
        <x:v>Pseudaphritidae</x:v>
      </x:c>
      <x:c r="L217" s="33" t="str">
        <x:v>Other demersal fishes</x:v>
      </x:c>
      <x:c r="M217" s="33" t="str">
        <x:v>Teleostei</x:v>
      </x:c>
    </x:row>
    <x:row r="218">
      <x:c r="A218" s="33" t="str">
        <x:v>Family</x:v>
      </x:c>
      <x:c r="B218" s="33" t="str">
        <x:v>Genus</x:v>
      </x:c>
      <x:c r="C218" s="33" t="str">
        <x:v>Atherinosoma</x:v>
      </x:c>
      <x:c r="D218" s="33" t="str">
        <x:v>Atherinosoma microstoma</x:v>
      </x:c>
      <x:c r="E218" s="59" t="n">
        <x:v>5.32</x:v>
      </x:c>
      <x:c r="F218" s="59" t="n">
        <x:v>4.23</x:v>
      </x:c>
      <x:c r="G218" s="59" t="n">
        <x:f>IF(F218="","",F218-E218)</x:f>
        <x:v>-1.0899999999999999</x:v>
      </x:c>
      <x:c r="H218" s="59" t="n">
        <x:f>IF(G218="","",ABS(G218))</x:f>
        <x:v>1.0899999999999999</x:v>
      </x:c>
      <x:c r="I218" s="60" t="n">
        <x:f>IF(G218="","",ABS(G218/E218)*100)</x:f>
        <x:v>20.488721804511275</x:v>
      </x:c>
      <x:c r="J218" s="33" t="str">
        <x:v>Atherinosoma</x:v>
      </x:c>
      <x:c r="K218" s="33" t="str">
        <x:v>Atherinidae</x:v>
      </x:c>
      <x:c r="L218" s="33" t="str">
        <x:v>Small pelagic forage fishes</x:v>
      </x:c>
      <x:c r="M218" s="33" t="str">
        <x:v>Teleostei</x:v>
      </x:c>
    </x:row>
    <x:row r="219">
      <x:c r="A219" s="33" t="str">
        <x:v>Family</x:v>
      </x:c>
      <x:c r="B219" s="33" t="str">
        <x:v>Genus</x:v>
      </x:c>
      <x:c r="C219" s="33" t="str">
        <x:v>Aldrichetta</x:v>
      </x:c>
      <x:c r="D219" s="33" t="str">
        <x:v>Aldrichetta forsteri</x:v>
      </x:c>
      <x:c r="E219" s="59" t="n">
        <x:v>6.14</x:v>
      </x:c>
      <x:c r="F219" s="59" t="n">
        <x:v>5.945</x:v>
      </x:c>
      <x:c r="G219" s="59" t="n">
        <x:f>IF(F219="","",F219-E219)</x:f>
        <x:v>-0.1949999999999994</x:v>
      </x:c>
      <x:c r="H219" s="59" t="n">
        <x:f>IF(G219="","",ABS(G219))</x:f>
        <x:v>0.1949999999999994</x:v>
      </x:c>
      <x:c r="I219" s="60" t="n">
        <x:f>IF(G219="","",ABS(G219/E219)*100)</x:f>
        <x:v>3.175895765472303</x:v>
      </x:c>
      <x:c r="J219" s="33" t="str">
        <x:v>Aldrichetta</x:v>
      </x:c>
      <x:c r="K219" s="33" t="str">
        <x:v>Mugilidae</x:v>
      </x:c>
      <x:c r="L219" s="33" t="str">
        <x:v>Estuarine/coastal fishes</x:v>
      </x:c>
      <x:c r="M219" s="33" t="str">
        <x:v>Teleostei</x:v>
      </x:c>
    </x:row>
    <x:row r="220">
      <x:c r="A220" s="33" t="str">
        <x:v>Family</x:v>
      </x:c>
      <x:c r="B220" s="33" t="str">
        <x:v>Genus</x:v>
      </x:c>
      <x:c r="C220" s="33" t="str">
        <x:v>Ammotretis</x:v>
      </x:c>
      <x:c r="D220" s="33" t="str">
        <x:v>Ammotretis rostratus</x:v>
      </x:c>
      <x:c r="E220" s="59" t="n">
        <x:v>4.72</x:v>
      </x:c>
      <x:c r="F220" s="59" t="n">
        <x:v>5.699999999999999</x:v>
      </x:c>
      <x:c r="G220" s="59" t="n">
        <x:f>IF(F220="","",F220-E220)</x:f>
        <x:v>0.9799999999999995</x:v>
      </x:c>
      <x:c r="H220" s="59" t="n">
        <x:f>IF(G220="","",ABS(G220))</x:f>
        <x:v>0.9799999999999995</x:v>
      </x:c>
      <x:c r="I220" s="60" t="n">
        <x:f>IF(G220="","",ABS(G220/E220)*100)</x:f>
        <x:v>20.76271186440677</x:v>
      </x:c>
      <x:c r="J220" s="33" t="str">
        <x:v>Ammotretis</x:v>
      </x:c>
      <x:c r="K220" s="33" t="str">
        <x:v>Pleuronectidae</x:v>
      </x:c>
      <x:c r="L220" s="33" t="str">
        <x:v>Demersal flatfishes</x:v>
      </x:c>
      <x:c r="M220" s="33" t="str">
        <x:v>Teleostei</x:v>
      </x:c>
    </x:row>
    <x:row r="221">
      <x:c r="A221" s="33" t="str">
        <x:v>Family</x:v>
      </x:c>
      <x:c r="B221" s="33" t="str">
        <x:v>Genus</x:v>
      </x:c>
      <x:c r="C221" s="33" t="str">
        <x:v>Rhombosolea</x:v>
      </x:c>
      <x:c r="D221" s="33" t="str">
        <x:v>Rhombosolea tapirina</x:v>
      </x:c>
      <x:c r="E221" s="59" t="n">
        <x:v>4.99</x:v>
      </x:c>
      <x:c r="F221" s="59" t="n">
        <x:v>5.699999999999999</x:v>
      </x:c>
      <x:c r="G221" s="59" t="n">
        <x:f>IF(F221="","",F221-E221)</x:f>
        <x:v>0.7099999999999991</x:v>
      </x:c>
      <x:c r="H221" s="59" t="n">
        <x:f>IF(G221="","",ABS(G221))</x:f>
        <x:v>0.7099999999999991</x:v>
      </x:c>
      <x:c r="I221" s="60" t="n">
        <x:f>IF(G221="","",ABS(G221/E221)*100)</x:f>
        <x:v>14.228456913827635</x:v>
      </x:c>
      <x:c r="J221" s="33" t="str">
        <x:v>Rhombosolea</x:v>
      </x:c>
      <x:c r="K221" s="33" t="str">
        <x:v>Pleuronectidae</x:v>
      </x:c>
      <x:c r="L221" s="33" t="str">
        <x:v>Demersal flatfishes</x:v>
      </x:c>
      <x:c r="M221" s="33" t="str">
        <x:v>Teleostei</x:v>
      </x:c>
    </x:row>
    <x:row r="222">
      <x:c r="A222" s="33" t="str">
        <x:v>Family</x:v>
      </x:c>
      <x:c r="B222" s="33" t="str">
        <x:v>Genus</x:v>
      </x:c>
      <x:c r="C222" s="33" t="str">
        <x:v>Acanthopagrus</x:v>
      </x:c>
      <x:c r="D222" s="33" t="str">
        <x:v>Acanthopagrus butcheri</x:v>
      </x:c>
      <x:c r="E222" s="59" t="n">
        <x:v>5.97</x:v>
      </x:c>
      <x:c r="F222" s="59" t="n">
        <x:v>8</x:v>
      </x:c>
      <x:c r="G222" s="59" t="n">
        <x:f>IF(F222="","",F222-E222)</x:f>
        <x:v>2.0300000000000002</x:v>
      </x:c>
      <x:c r="H222" s="59" t="n">
        <x:f>IF(G222="","",ABS(G222))</x:f>
        <x:v>2.0300000000000002</x:v>
      </x:c>
      <x:c r="I222" s="60" t="n">
        <x:f>IF(G222="","",ABS(G222/E222)*100)</x:f>
        <x:v>34.003350083752096</x:v>
      </x:c>
      <x:c r="J222" s="33" t="str">
        <x:v>Acanthopagrus</x:v>
      </x:c>
      <x:c r="K222" s="33" t="str">
        <x:v>Sparidae</x:v>
      </x:c>
      <x:c r="L222" s="33" t="str">
        <x:v>Other demersal fishes</x:v>
      </x:c>
      <x:c r="M222" s="33" t="str">
        <x:v>Teleostei</x:v>
      </x:c>
    </x:row>
    <x:row r="223">
      <x:c r="A223" s="33" t="str">
        <x:v>Family</x:v>
      </x:c>
      <x:c r="B223" s="33" t="str">
        <x:v>Genus</x:v>
      </x:c>
      <x:c r="C223" s="33" t="str">
        <x:v>Arripis</x:v>
      </x:c>
      <x:c r="D223" s="33" t="str">
        <x:v>Arripis truttaceus</x:v>
      </x:c>
      <x:c r="E223" s="59" t="n">
        <x:v>5.92</x:v>
      </x:c>
      <x:c r="F223" s="59"/>
      <x:c r="G223" s="59" t="str">
        <x:f>IF(F223="","",F223-E223)</x:f>
      </x:c>
      <x:c r="H223" s="59" t="str">
        <x:f>IF(G223="","",ABS(G223))</x:f>
      </x:c>
      <x:c r="I223" s="60" t="str">
        <x:f>IF(G223="","",ABS(G223/E223)*100)</x:f>
      </x:c>
      <x:c r="J223" s="33" t="str">
        <x:v>Arripis</x:v>
      </x:c>
      <x:c r="K223" s="33" t="str">
        <x:v>Arripidae</x:v>
      </x:c>
      <x:c r="L223" s="33" t="str">
        <x:v>Other pelagic fishes</x:v>
      </x:c>
      <x:c r="M223" s="33" t="str">
        <x:v>Teleostei</x:v>
      </x:c>
    </x:row>
    <x:row r="224">
      <x:c r="A224" s="33" t="str">
        <x:v>Family</x:v>
      </x:c>
      <x:c r="B224" s="33" t="str">
        <x:v>Genus</x:v>
      </x:c>
      <x:c r="C224" s="33" t="str">
        <x:v>Argyrosomus</x:v>
      </x:c>
      <x:c r="D224" s="33" t="str">
        <x:v>Argyrosomus japonicus</x:v>
      </x:c>
      <x:c r="E224" s="59" t="n">
        <x:v>5.56</x:v>
      </x:c>
      <x:c r="F224" s="59"/>
      <x:c r="G224" s="59" t="str">
        <x:f>IF(F224="","",F224-E224)</x:f>
      </x:c>
      <x:c r="H224" s="59" t="str">
        <x:f>IF(G224="","",ABS(G224))</x:f>
      </x:c>
      <x:c r="I224" s="60" t="str">
        <x:f>IF(G224="","",ABS(G224/E224)*100)</x:f>
      </x:c>
      <x:c r="J224" s="33" t="str">
        <x:v>Argyrosomus</x:v>
      </x:c>
      <x:c r="K224" s="33" t="str">
        <x:v>Sciaenidae</x:v>
      </x:c>
      <x:c r="L224" s="33" t="str">
        <x:v>Other demersal fishes</x:v>
      </x:c>
      <x:c r="M224" s="33" t="str">
        <x:v>Teleostei</x:v>
      </x:c>
    </x:row>
    <x:row r="225">
      <x:c r="A225" s="33" t="str">
        <x:v>Family</x:v>
      </x:c>
      <x:c r="B225" s="33" t="str">
        <x:v>Genus</x:v>
      </x:c>
      <x:c r="C225" s="33" t="str">
        <x:v>Engraulis</x:v>
      </x:c>
      <x:c r="D225" s="33" t="str">
        <x:v>Engraulis mordax</x:v>
      </x:c>
      <x:c r="E225" s="59" t="n">
        <x:v>7.85</x:v>
      </x:c>
      <x:c r="F225" s="59" t="n">
        <x:v>5.2</x:v>
      </x:c>
      <x:c r="G225" s="59" t="n">
        <x:f>IF(F225="","",F225-E225)</x:f>
        <x:v>-2.6499999999999995</x:v>
      </x:c>
      <x:c r="H225" s="59" t="n">
        <x:f>IF(G225="","",ABS(G225))</x:f>
        <x:v>2.6499999999999995</x:v>
      </x:c>
      <x:c r="I225" s="60" t="n">
        <x:f>IF(G225="","",ABS(G225/E225)*100)</x:f>
        <x:v>33.757961783439484</x:v>
      </x:c>
      <x:c r="J225" s="33" t="str">
        <x:v>Engraulis</x:v>
      </x:c>
      <x:c r="K225" s="33" t="str">
        <x:v>Engraulidae</x:v>
      </x:c>
      <x:c r="L225" s="33" t="str">
        <x:v>Small pelagic forage fishes</x:v>
      </x:c>
      <x:c r="M225" s="33" t="str">
        <x:v>Teleostei</x:v>
      </x:c>
    </x:row>
    <x:row r="226">
      <x:c r="A226" s="33" t="str">
        <x:v>Family</x:v>
      </x:c>
      <x:c r="B226" s="33" t="str">
        <x:v>Genus</x:v>
      </x:c>
      <x:c r="C226" s="33" t="str">
        <x:v>Sardinops</x:v>
      </x:c>
      <x:c r="D226" s="33" t="str">
        <x:v>Sardinops sagax</x:v>
      </x:c>
      <x:c r="E226" s="59" t="n">
        <x:v>6.75</x:v>
      </x:c>
      <x:c r="F226" s="59" t="n">
        <x:v>6.995</x:v>
      </x:c>
      <x:c r="G226" s="59" t="n">
        <x:f>IF(F226="","",F226-E226)</x:f>
        <x:v>0.2450000000000001</x:v>
      </x:c>
      <x:c r="H226" s="59" t="n">
        <x:f>IF(G226="","",ABS(G226))</x:f>
        <x:v>0.2450000000000001</x:v>
      </x:c>
      <x:c r="I226" s="60" t="n">
        <x:f>IF(G226="","",ABS(G226/E226)*100)</x:f>
        <x:v>3.629629629629631</x:v>
      </x:c>
      <x:c r="J226" s="33" t="str">
        <x:v>Sardinops</x:v>
      </x:c>
      <x:c r="K226" s="33" t="str">
        <x:v>Clupeidae</x:v>
      </x:c>
      <x:c r="L226" s="33" t="str">
        <x:v>Small pelagic forage fishes</x:v>
      </x:c>
      <x:c r="M226" s="33" t="str">
        <x:v>Teleostei</x:v>
      </x:c>
    </x:row>
    <x:row r="227">
      <x:c r="A227" s="33" t="str">
        <x:v>Family</x:v>
      </x:c>
      <x:c r="B227" s="33" t="str">
        <x:v>Genus</x:v>
      </x:c>
      <x:c r="C227" s="33" t="str">
        <x:v>Doryteuthis</x:v>
      </x:c>
      <x:c r="D227" s="33" t="str">
        <x:v>Doryteuthis opalescens</x:v>
      </x:c>
      <x:c r="E227" s="59" t="n">
        <x:v>4.85</x:v>
      </x:c>
      <x:c r="F227" s="59" t="n">
        <x:v>4.6</x:v>
      </x:c>
      <x:c r="G227" s="59" t="n">
        <x:f>IF(F227="","",F227-E227)</x:f>
        <x:v>-0.25</x:v>
      </x:c>
      <x:c r="H227" s="59" t="n">
        <x:f>IF(G227="","",ABS(G227))</x:f>
        <x:v>0.25</x:v>
      </x:c>
      <x:c r="I227" s="60" t="n">
        <x:f>IF(G227="","",ABS(G227/E227)*100)</x:f>
        <x:v>5.154639175257732</x:v>
      </x:c>
      <x:c r="J227" s="33" t="str">
        <x:v>Doryteuthis</x:v>
      </x:c>
      <x:c r="K227" s="33" t="str">
        <x:v>Loliginidae</x:v>
      </x:c>
      <x:c r="L227" s="33" t="str">
        <x:v>Pelagic squids</x:v>
      </x:c>
      <x:c r="M227" s="33" t="str">
        <x:v>Cephalopoda</x:v>
      </x:c>
    </x:row>
    <x:row r="228">
      <x:c r="A228" s="33" t="str">
        <x:v>Family</x:v>
      </x:c>
      <x:c r="B228" s="33" t="str">
        <x:v>Genus</x:v>
      </x:c>
      <x:c r="C228" s="33" t="str">
        <x:v>Alosa</x:v>
      </x:c>
      <x:c r="D228" s="33" t="str">
        <x:v>Alosa pseudoharengus</x:v>
      </x:c>
      <x:c r="E228" s="59" t="n">
        <x:v>6.99</x:v>
      </x:c>
      <x:c r="F228" s="59" t="n">
        <x:v>6.875</x:v>
      </x:c>
      <x:c r="G228" s="59" t="n">
        <x:f>IF(F228="","",F228-E228)</x:f>
        <x:v>-0.11500000000000021</x:v>
      </x:c>
      <x:c r="H228" s="59" t="n">
        <x:f>IF(G228="","",ABS(G228))</x:f>
        <x:v>0.11500000000000021</x:v>
      </x:c>
      <x:c r="I228" s="60" t="n">
        <x:f>IF(G228="","",ABS(G228/E228)*100)</x:f>
        <x:v>1.6452074391988585</x:v>
      </x:c>
      <x:c r="J228" s="33" t="str">
        <x:v>Alosa</x:v>
      </x:c>
      <x:c r="K228" s="33" t="str">
        <x:v>Clupeidae</x:v>
      </x:c>
      <x:c r="L228" s="33" t="str">
        <x:v>Small pelagic forage fishes</x:v>
      </x:c>
      <x:c r="M228" s="33" t="str">
        <x:v>Teleostei</x:v>
      </x:c>
    </x:row>
    <x:row r="229">
      <x:c r="A229" s="33" t="str">
        <x:v>Family</x:v>
      </x:c>
      <x:c r="B229" s="33" t="str">
        <x:v>Genus</x:v>
      </x:c>
      <x:c r="C229" s="33" t="str">
        <x:v>Merluccius</x:v>
      </x:c>
      <x:c r="D229" s="33" t="str">
        <x:v>Merluccius bilinearis</x:v>
      </x:c>
      <x:c r="E229" s="59" t="n">
        <x:v>4.28</x:v>
      </x:c>
      <x:c r="F229" s="59"/>
      <x:c r="G229" s="59" t="str">
        <x:f>IF(F229="","",F229-E229)</x:f>
      </x:c>
      <x:c r="H229" s="59" t="str">
        <x:f>IF(G229="","",ABS(G229))</x:f>
      </x:c>
      <x:c r="I229" s="60" t="str">
        <x:f>IF(G229="","",ABS(G229/E229)*100)</x:f>
      </x:c>
      <x:c r="J229" s="33" t="str">
        <x:v>Merluccius</x:v>
      </x:c>
      <x:c r="K229" s="33" t="str">
        <x:v>Merlucciidae</x:v>
      </x:c>
      <x:c r="L229" s="33" t="str">
        <x:v>Other demersal fishes</x:v>
      </x:c>
      <x:c r="M229" s="33" t="str">
        <x:v>Teleostei</x:v>
      </x:c>
    </x:row>
    <x:row r="230">
      <x:c r="A230" s="33" t="str">
        <x:v>Family</x:v>
      </x:c>
      <x:c r="B230" s="33" t="str">
        <x:v>Genus</x:v>
      </x:c>
      <x:c r="C230" s="33" t="str">
        <x:v>Ammodytes</x:v>
      </x:c>
      <x:c r="D230" s="33" t="str">
        <x:v>Ammodytes dubius</x:v>
      </x:c>
      <x:c r="E230" s="59" t="n">
        <x:v>6</x:v>
      </x:c>
      <x:c r="F230" s="59" t="n">
        <x:v>4.8</x:v>
      </x:c>
      <x:c r="G230" s="59" t="n">
        <x:f>IF(F230="","",F230-E230)</x:f>
        <x:v>-1.2000000000000002</x:v>
      </x:c>
      <x:c r="H230" s="59" t="n">
        <x:f>IF(G230="","",ABS(G230))</x:f>
        <x:v>1.2000000000000002</x:v>
      </x:c>
      <x:c r="I230" s="60" t="n">
        <x:f>IF(G230="","",ABS(G230/E230)*100)</x:f>
        <x:v>20.000000000000004</x:v>
      </x:c>
      <x:c r="J230" s="33" t="str">
        <x:v>Ammodytes</x:v>
      </x:c>
      <x:c r="K230" s="33" t="str">
        <x:v>Ammodytidae</x:v>
      </x:c>
      <x:c r="L230" s="33" t="str">
        <x:v>Small pelagic forage fishes</x:v>
      </x:c>
      <x:c r="M230" s="33" t="str">
        <x:v>Teleostei</x:v>
      </x:c>
    </x:row>
    <x:row r="231">
      <x:c r="A231" s="33" t="str">
        <x:v>Family</x:v>
      </x:c>
      <x:c r="B231" s="33" t="str">
        <x:v>Genus</x:v>
      </x:c>
      <x:c r="C231" s="33" t="str">
        <x:v>Peprilus</x:v>
      </x:c>
      <x:c r="D231" s="33" t="str">
        <x:v>Peprilus triacanthus</x:v>
      </x:c>
      <x:c r="E231" s="59" t="n">
        <x:v>6.74</x:v>
      </x:c>
      <x:c r="F231" s="59"/>
      <x:c r="G231" s="59" t="str">
        <x:f>IF(F231="","",F231-E231)</x:f>
      </x:c>
      <x:c r="H231" s="59" t="str">
        <x:f>IF(G231="","",ABS(G231))</x:f>
      </x:c>
      <x:c r="I231" s="60" t="str">
        <x:f>IF(G231="","",ABS(G231/E231)*100)</x:f>
      </x:c>
      <x:c r="J231" s="33" t="str">
        <x:v>Peprilus</x:v>
      </x:c>
      <x:c r="K231" s="33" t="str">
        <x:v>Stromateidae</x:v>
      </x:c>
      <x:c r="L231" s="33" t="str">
        <x:v>Small pelagic forage fishes</x:v>
      </x:c>
      <x:c r="M231" s="33" t="str">
        <x:v>Teleostei</x:v>
      </x:c>
    </x:row>
    <x:row r="232">
      <x:c r="A232" s="33" t="str">
        <x:v>Family</x:v>
      </x:c>
      <x:c r="B232" s="33" t="str">
        <x:v>Genus</x:v>
      </x:c>
      <x:c r="C232" s="33" t="str">
        <x:v>Illex</x:v>
      </x:c>
      <x:c r="D232" s="33" t="str">
        <x:v>Illex illecebrosus</x:v>
      </x:c>
      <x:c r="E232" s="59" t="n">
        <x:v>5.45</x:v>
      </x:c>
      <x:c r="F232" s="59" t="n">
        <x:v>4.4</x:v>
      </x:c>
      <x:c r="G232" s="59" t="n">
        <x:f>IF(F232="","",F232-E232)</x:f>
        <x:v>-1.0499999999999998</x:v>
      </x:c>
      <x:c r="H232" s="59" t="n">
        <x:f>IF(G232="","",ABS(G232))</x:f>
        <x:v>1.0499999999999998</x:v>
      </x:c>
      <x:c r="I232" s="60" t="n">
        <x:f>IF(G232="","",ABS(G232/E232)*100)</x:f>
        <x:v>19.266055045871553</x:v>
      </x:c>
      <x:c r="J232" s="33" t="str">
        <x:v>Illex</x:v>
      </x:c>
      <x:c r="K232" s="33" t="str">
        <x:v>Ommastrephidae</x:v>
      </x:c>
      <x:c r="L232" s="33" t="str">
        <x:v>Pelagic squids</x:v>
      </x:c>
      <x:c r="M232" s="33" t="str">
        <x:v>Cephalopoda</x:v>
      </x:c>
    </x:row>
    <x:row r="233">
      <x:c r="A233" s="33" t="str">
        <x:v>Family</x:v>
      </x:c>
      <x:c r="B233" s="33" t="str">
        <x:v>Genus</x:v>
      </x:c>
      <x:c r="C233" s="33" t="str">
        <x:v>Doryteuthis</x:v>
      </x:c>
      <x:c r="D233" s="33" t="str">
        <x:v>Doryteuthis pealeii</x:v>
      </x:c>
      <x:c r="E233" s="59" t="n">
        <x:v>5.16</x:v>
      </x:c>
      <x:c r="F233" s="59" t="n">
        <x:v>4.6</x:v>
      </x:c>
      <x:c r="G233" s="59" t="n">
        <x:f>IF(F233="","",F233-E233)</x:f>
        <x:v>-0.5600000000000005</x:v>
      </x:c>
      <x:c r="H233" s="59" t="n">
        <x:f>IF(G233="","",ABS(G233))</x:f>
        <x:v>0.5600000000000005</x:v>
      </x:c>
      <x:c r="I233" s="60" t="n">
        <x:f>IF(G233="","",ABS(G233/E233)*100)</x:f>
        <x:v>10.852713178294584</x:v>
      </x:c>
      <x:c r="J233" s="33" t="str">
        <x:v>Doryteuthis</x:v>
      </x:c>
      <x:c r="K233" s="33" t="str">
        <x:v>Loliginidae</x:v>
      </x:c>
      <x:c r="L233" s="33" t="str">
        <x:v>Pelagic squids</x:v>
      </x:c>
      <x:c r="M233" s="33" t="str">
        <x:v>Cephalopoda</x:v>
      </x:c>
    </x:row>
    <x:row r="234">
      <x:c r="A234" s="33" t="str">
        <x:v>Family</x:v>
      </x:c>
      <x:c r="B234" s="33" t="str">
        <x:v>Genus</x:v>
      </x:c>
      <x:c r="C234" s="33" t="str">
        <x:v>Pomatomus</x:v>
      </x:c>
      <x:c r="D234" s="33" t="str">
        <x:v>Pomatomus saltatrix</x:v>
      </x:c>
      <x:c r="E234" s="59" t="n">
        <x:v>7.06</x:v>
      </x:c>
      <x:c r="F234" s="59"/>
      <x:c r="G234" s="59" t="str">
        <x:f>IF(F234="","",F234-E234)</x:f>
      </x:c>
      <x:c r="H234" s="59" t="str">
        <x:f>IF(G234="","",ABS(G234))</x:f>
      </x:c>
      <x:c r="I234" s="60" t="str">
        <x:f>IF(G234="","",ABS(G234/E234)*100)</x:f>
      </x:c>
      <x:c r="J234" s="33" t="str">
        <x:v>Pomatomus</x:v>
      </x:c>
      <x:c r="K234" s="33" t="str">
        <x:v>Pomatomidae</x:v>
      </x:c>
      <x:c r="L234" s="33" t="str">
        <x:v>Pelagic predatory fishes</x:v>
      </x:c>
      <x:c r="M234" s="33" t="str">
        <x:v>Teleostei</x:v>
      </x:c>
    </x:row>
    <x:row r="235">
      <x:c r="A235" s="33" t="str">
        <x:v>Family</x:v>
      </x:c>
      <x:c r="B235" s="33" t="str">
        <x:v>Genus</x:v>
      </x:c>
      <x:c r="C235" s="33" t="str">
        <x:v>Trachurus</x:v>
      </x:c>
      <x:c r="D235" s="33" t="str">
        <x:v>Trachurus novaezelandiae</x:v>
      </x:c>
      <x:c r="E235" s="59" t="n">
        <x:v>5.78</x:v>
      </x:c>
      <x:c r="F235" s="59"/>
      <x:c r="G235" s="59" t="str">
        <x:f>IF(F235="","",F235-E235)</x:f>
      </x:c>
      <x:c r="H235" s="59" t="str">
        <x:f>IF(G235="","",ABS(G235))</x:f>
      </x:c>
      <x:c r="I235" s="60" t="str">
        <x:f>IF(G235="","",ABS(G235/E235)*100)</x:f>
      </x:c>
      <x:c r="J235" s="33" t="str">
        <x:v>Trachurus</x:v>
      </x:c>
      <x:c r="K235" s="33" t="str">
        <x:v>Carangidae</x:v>
      </x:c>
      <x:c r="L235" s="33" t="str">
        <x:v>Small pelagic forage fishes</x:v>
      </x:c>
      <x:c r="M235" s="33" t="str">
        <x:v>Teleostei</x:v>
      </x:c>
    </x:row>
    <x:row r="236">
      <x:c r="A236" s="33" t="str">
        <x:v>Family</x:v>
      </x:c>
      <x:c r="B236" s="33" t="str">
        <x:v>Genus</x:v>
      </x:c>
      <x:c r="C236" s="33" t="str">
        <x:v>Acanthopagrus</x:v>
      </x:c>
      <x:c r="D236" s="33" t="str">
        <x:v>Acanthopagrus australis</x:v>
      </x:c>
      <x:c r="E236" s="59" t="n">
        <x:v>5.75</x:v>
      </x:c>
      <x:c r="F236" s="59" t="n">
        <x:v>8</x:v>
      </x:c>
      <x:c r="G236" s="59" t="n">
        <x:f>IF(F236="","",F236-E236)</x:f>
        <x:v>2.25</x:v>
      </x:c>
      <x:c r="H236" s="59" t="n">
        <x:f>IF(G236="","",ABS(G236))</x:f>
        <x:v>2.25</x:v>
      </x:c>
      <x:c r="I236" s="60" t="n">
        <x:f>IF(G236="","",ABS(G236/E236)*100)</x:f>
        <x:v>39.130434782608695</x:v>
      </x:c>
      <x:c r="J236" s="33" t="str">
        <x:v>Acanthopagrus</x:v>
      </x:c>
      <x:c r="K236" s="33" t="str">
        <x:v>Sparidae</x:v>
      </x:c>
      <x:c r="L236" s="33" t="str">
        <x:v>Other demersal fishes</x:v>
      </x:c>
      <x:c r="M236" s="33" t="str">
        <x:v>Teleostei</x:v>
      </x:c>
    </x:row>
    <x:row r="237">
      <x:c r="A237" s="33" t="str">
        <x:v>Family</x:v>
      </x:c>
      <x:c r="B237" s="33" t="str">
        <x:v>Genus</x:v>
      </x:c>
      <x:c r="C237" s="33" t="str">
        <x:v>Scomber</x:v>
      </x:c>
      <x:c r="D237" s="33" t="str">
        <x:v>Scomber australasicus</x:v>
      </x:c>
      <x:c r="E237" s="59" t="n">
        <x:v>5.43</x:v>
      </x:c>
      <x:c r="F237" s="59"/>
      <x:c r="G237" s="59" t="str">
        <x:f>IF(F237="","",F237-E237)</x:f>
      </x:c>
      <x:c r="H237" s="59" t="str">
        <x:f>IF(G237="","",ABS(G237))</x:f>
      </x:c>
      <x:c r="I237" s="60" t="str">
        <x:f>IF(G237="","",ABS(G237/E237)*100)</x:f>
      </x:c>
      <x:c r="J237" s="33" t="str">
        <x:v>Scomber</x:v>
      </x:c>
      <x:c r="K237" s="33" t="str">
        <x:v>Scombridae</x:v>
      </x:c>
      <x:c r="L237" s="33" t="str">
        <x:v>Small pelagic forage fishes</x:v>
      </x:c>
      <x:c r="M237" s="33" t="str">
        <x:v>Teleostei</x:v>
      </x:c>
    </x:row>
    <x:row r="238">
      <x:c r="A238" s="33" t="str">
        <x:v>Family</x:v>
      </x:c>
      <x:c r="B238" s="33" t="str">
        <x:v>Genus</x:v>
      </x:c>
      <x:c r="C238" s="33" t="str">
        <x:v>Liza</x:v>
      </x:c>
      <x:c r="D238" s="33" t="str">
        <x:v>Liza argentea</x:v>
      </x:c>
      <x:c r="E238" s="59" t="n">
        <x:v>5.39</x:v>
      </x:c>
      <x:c r="F238" s="59" t="n">
        <x:v>6.14</x:v>
      </x:c>
      <x:c r="G238" s="59" t="n">
        <x:f>IF(F238="","",F238-E238)</x:f>
        <x:v>0.75</x:v>
      </x:c>
      <x:c r="H238" s="59" t="n">
        <x:f>IF(G238="","",ABS(G238))</x:f>
        <x:v>0.75</x:v>
      </x:c>
      <x:c r="I238" s="60" t="n">
        <x:f>IF(G238="","",ABS(G238/E238)*100)</x:f>
        <x:v>13.91465677179963</x:v>
      </x:c>
      <x:c r="J238" s="33" t="str">
        <x:v>Liza</x:v>
      </x:c>
      <x:c r="K238" s="33" t="str">
        <x:v>Mugilidae</x:v>
      </x:c>
      <x:c r="L238" s="33" t="str">
        <x:v>Estuarine/coastal fishes</x:v>
      </x:c>
      <x:c r="M238" s="33" t="str">
        <x:v>Teleostei</x:v>
      </x:c>
    </x:row>
    <x:row r="239">
      <x:c r="A239" s="33" t="str">
        <x:v>Family</x:v>
      </x:c>
      <x:c r="B239" s="33" t="str">
        <x:v>Genus</x:v>
      </x:c>
      <x:c r="C239" s="33" t="str">
        <x:v>Gerres</x:v>
      </x:c>
      <x:c r="D239" s="33" t="str">
        <x:v>Gerres subfasciatus</x:v>
      </x:c>
      <x:c r="E239" s="59" t="n">
        <x:v>5.2</x:v>
      </x:c>
      <x:c r="F239" s="59"/>
      <x:c r="G239" s="59" t="str">
        <x:f>IF(F239="","",F239-E239)</x:f>
      </x:c>
      <x:c r="H239" s="59" t="str">
        <x:f>IF(G239="","",ABS(G239))</x:f>
      </x:c>
      <x:c r="I239" s="60" t="str">
        <x:f>IF(G239="","",ABS(G239/E239)*100)</x:f>
      </x:c>
      <x:c r="J239" s="33" t="str">
        <x:v>Gerres</x:v>
      </x:c>
      <x:c r="K239" s="33" t="str">
        <x:v>Gerreidae</x:v>
      </x:c>
      <x:c r="L239" s="33" t="str">
        <x:v>Other demersal fishes</x:v>
      </x:c>
      <x:c r="M239" s="33" t="str">
        <x:v>Teleostei</x:v>
      </x:c>
    </x:row>
    <x:row r="240">
      <x:c r="A240" s="33" t="str">
        <x:v>Family</x:v>
      </x:c>
      <x:c r="B240" s="33" t="str">
        <x:v>Genus</x:v>
      </x:c>
      <x:c r="C240" s="33" t="str">
        <x:v>Sillago</x:v>
      </x:c>
      <x:c r="D240" s="33" t="str">
        <x:v>Sillago ciliata</x:v>
      </x:c>
      <x:c r="E240" s="59" t="n">
        <x:v>5.02</x:v>
      </x:c>
      <x:c r="F240" s="59"/>
      <x:c r="G240" s="59" t="str">
        <x:f>IF(F240="","",F240-E240)</x:f>
      </x:c>
      <x:c r="H240" s="59" t="str">
        <x:f>IF(G240="","",ABS(G240))</x:f>
      </x:c>
      <x:c r="I240" s="60" t="str">
        <x:f>IF(G240="","",ABS(G240/E240)*100)</x:f>
      </x:c>
      <x:c r="J240" s="33" t="str">
        <x:v>Sillago</x:v>
      </x:c>
      <x:c r="K240" s="33" t="str">
        <x:v>Sillaginidae</x:v>
      </x:c>
      <x:c r="L240" s="33" t="str">
        <x:v>Other demersal fishes</x:v>
      </x:c>
      <x:c r="M240" s="33" t="str">
        <x:v>Teleostei</x:v>
      </x:c>
    </x:row>
    <x:row r="241">
      <x:c r="A241" s="33" t="str">
        <x:v>Family</x:v>
      </x:c>
      <x:c r="B241" s="33" t="str">
        <x:v>Genus</x:v>
      </x:c>
      <x:c r="C241" s="33" t="str">
        <x:v>Metapenaeus</x:v>
      </x:c>
      <x:c r="D241" s="33" t="str">
        <x:v>Metapenaeus macleayi</x:v>
      </x:c>
      <x:c r="E241" s="59" t="n">
        <x:v>3.84</x:v>
      </x:c>
      <x:c r="F241" s="59"/>
      <x:c r="G241" s="59" t="str">
        <x:f>IF(F241="","",F241-E241)</x:f>
      </x:c>
      <x:c r="H241" s="59" t="str">
        <x:f>IF(G241="","",ABS(G241))</x:f>
      </x:c>
      <x:c r="I241" s="60" t="str">
        <x:f>IF(G241="","",ABS(G241/E241)*100)</x:f>
      </x:c>
      <x:c r="J241" s="33" t="str">
        <x:v>Metapenaeus</x:v>
      </x:c>
      <x:c r="K241" s="33" t="str">
        <x:v>Penaeidae</x:v>
      </x:c>
      <x:c r="L241" s="33" t="str">
        <x:v>Decapods (ecology unspecified)</x:v>
      </x:c>
      <x:c r="M241" s="33" t="str">
        <x:v>Crustacea</x:v>
      </x:c>
    </x:row>
    <x:row r="242">
      <x:c r="A242" s="33" t="str">
        <x:v>Family</x:v>
      </x:c>
      <x:c r="B242" s="33" t="str">
        <x:v>Genus</x:v>
      </x:c>
      <x:c r="C242" s="33" t="str">
        <x:v>Euphausia</x:v>
      </x:c>
      <x:c r="D242" s="33" t="str">
        <x:v>Euphausia superba</x:v>
      </x:c>
      <x:c r="E242" s="59" t="n">
        <x:v>3.73</x:v>
      </x:c>
      <x:c r="F242" s="59" t="n">
        <x:v>3.9</x:v>
      </x:c>
      <x:c r="G242" s="59" t="n">
        <x:f>IF(F242="","",F242-E242)</x:f>
        <x:v>0.16999999999999993</x:v>
      </x:c>
      <x:c r="H242" s="59" t="n">
        <x:f>IF(G242="","",ABS(G242))</x:f>
        <x:v>0.16999999999999993</x:v>
      </x:c>
      <x:c r="I242" s="60" t="n">
        <x:f>IF(G242="","",ABS(G242/E242)*100)</x:f>
        <x:v>4.55764075067024</x:v>
      </x:c>
      <x:c r="J242" s="33" t="str">
        <x:v>Euphausia</x:v>
      </x:c>
      <x:c r="K242" s="33" t="str">
        <x:v>Euphausiidae</x:v>
      </x:c>
      <x:c r="L242" s="33" t="str">
        <x:v>Pelagic planktonic euphausiids</x:v>
      </x:c>
      <x:c r="M242" s="33" t="str">
        <x:v>Crustacea</x:v>
      </x:c>
    </x:row>
    <x:row r="243">
      <x:c r="A243" s="33" t="str">
        <x:v>Family</x:v>
      </x:c>
      <x:c r="B243" s="33" t="str">
        <x:v>Genus</x:v>
      </x:c>
      <x:c r="C243" s="33" t="str">
        <x:v>Dosidicus</x:v>
      </x:c>
      <x:c r="D243" s="33" t="str">
        <x:v>Dosidicus gigas</x:v>
      </x:c>
      <x:c r="E243" s="59" t="n">
        <x:v>4.22</x:v>
      </x:c>
      <x:c r="F243" s="59" t="n">
        <x:v>4.925000000000001</x:v>
      </x:c>
      <x:c r="G243" s="59" t="n">
        <x:f>IF(F243="","",F243-E243)</x:f>
        <x:v>0.705000000000001</x:v>
      </x:c>
      <x:c r="H243" s="59" t="n">
        <x:f>IF(G243="","",ABS(G243))</x:f>
        <x:v>0.705000000000001</x:v>
      </x:c>
      <x:c r="I243" s="60" t="n">
        <x:f>IF(G243="","",ABS(G243/E243)*100)</x:f>
        <x:v>16.70616113744078</x:v>
      </x:c>
      <x:c r="J243" s="33" t="str">
        <x:v>Dosidicus</x:v>
      </x:c>
      <x:c r="K243" s="33" t="str">
        <x:v>Ommastrephidae</x:v>
      </x:c>
      <x:c r="L243" s="33" t="str">
        <x:v>Pelagic squids</x:v>
      </x:c>
      <x:c r="M243" s="33" t="str">
        <x:v>Cephalopoda</x:v>
      </x:c>
    </x:row>
    <x:row r="244">
      <x:c r="A244" s="33" t="str">
        <x:v>Family</x:v>
      </x:c>
      <x:c r="B244" s="33" t="str">
        <x:v>Genus</x:v>
      </x:c>
      <x:c r="C244" s="33" t="str">
        <x:v>Symplectoteuthis</x:v>
      </x:c>
      <x:c r="D244" s="33" t="str">
        <x:v>Symplectoteuthis ovalaniensis</x:v>
      </x:c>
      <x:c r="E244" s="59" t="n">
        <x:v>5.59</x:v>
      </x:c>
      <x:c r="F244" s="59" t="n">
        <x:v>4.35</x:v>
      </x:c>
      <x:c r="G244" s="59" t="n">
        <x:f>IF(F244="","",F244-E244)</x:f>
        <x:v>-1.2400000000000002</x:v>
      </x:c>
      <x:c r="H244" s="59" t="n">
        <x:f>IF(G244="","",ABS(G244))</x:f>
        <x:v>1.2400000000000002</x:v>
      </x:c>
      <x:c r="I244" s="60" t="n">
        <x:f>IF(G244="","",ABS(G244/E244)*100)</x:f>
        <x:v>22.182468694096606</x:v>
      </x:c>
      <x:c r="J244" s="33" t="str">
        <x:v>Symplectoteuthis</x:v>
      </x:c>
      <x:c r="K244" s="33" t="str">
        <x:v>Ommastrephidae</x:v>
      </x:c>
      <x:c r="L244" s="33" t="str">
        <x:v>Pelagic squids</x:v>
      </x:c>
      <x:c r="M244" s="33" t="str">
        <x:v>Cephalopoda</x:v>
      </x:c>
    </x:row>
    <x:row r="245">
      <x:c r="A245" s="33" t="str">
        <x:v>Family</x:v>
      </x:c>
      <x:c r="B245" s="33" t="str">
        <x:v>Genus</x:v>
      </x:c>
      <x:c r="C245" s="33" t="str">
        <x:v>Clinocardium</x:v>
      </x:c>
      <x:c r="D245" s="33" t="str">
        <x:v>Clinocardium ciliatum</x:v>
      </x:c>
      <x:c r="E245" s="59" t="n">
        <x:v>1.57</x:v>
      </x:c>
      <x:c r="F245" s="59"/>
      <x:c r="G245" s="59" t="str">
        <x:f>IF(F245="","",F245-E245)</x:f>
      </x:c>
      <x:c r="H245" s="59" t="str">
        <x:f>IF(G245="","",ABS(G245))</x:f>
      </x:c>
      <x:c r="I245" s="60" t="str">
        <x:f>IF(G245="","",ABS(G245/E245)*100)</x:f>
      </x:c>
      <x:c r="J245" s="33" t="str">
        <x:v>Clinocardium</x:v>
      </x:c>
      <x:c r="K245" s="33" t="str">
        <x:v>Cardiidae</x:v>
      </x:c>
      <x:c r="L245" s="33" t="str">
        <x:v>Benthic bivalves</x:v>
      </x:c>
      <x:c r="M245" s="33" t="str">
        <x:v>Mollusca (non-cephalopods)</x:v>
      </x:c>
    </x:row>
    <x:row r="246">
      <x:c r="A246" s="33" t="str">
        <x:v>Family</x:v>
      </x:c>
      <x:c r="B246" s="33" t="str">
        <x:v>Genus</x:v>
      </x:c>
      <x:c r="C246" s="33" t="str">
        <x:v>Yoldia</x:v>
      </x:c>
      <x:c r="D246" s="33" t="str">
        <x:v>Yoldia sapotilla</x:v>
      </x:c>
      <x:c r="E246" s="59" t="n">
        <x:v>2.88</x:v>
      </x:c>
      <x:c r="F246" s="59"/>
      <x:c r="G246" s="59" t="str">
        <x:f>IF(F246="","",F246-E246)</x:f>
      </x:c>
      <x:c r="H246" s="59" t="str">
        <x:f>IF(G246="","",ABS(G246))</x:f>
      </x:c>
      <x:c r="I246" s="60" t="str">
        <x:f>IF(G246="","",ABS(G246/E246)*100)</x:f>
      </x:c>
      <x:c r="J246" s="33" t="str">
        <x:v>Yoldia</x:v>
      </x:c>
      <x:c r="K246" s="33" t="str">
        <x:v>Yoldiidae</x:v>
      </x:c>
      <x:c r="L246" s="33" t="str">
        <x:v>Benthic bivalves</x:v>
      </x:c>
      <x:c r="M246" s="33" t="str">
        <x:v>Mollusca (non-cephalopods)</x:v>
      </x:c>
    </x:row>
    <x:row r="247">
      <x:c r="A247" s="33" t="str">
        <x:v>Family</x:v>
      </x:c>
      <x:c r="B247" s="33" t="str">
        <x:v>Genus</x:v>
      </x:c>
      <x:c r="C247" s="33" t="str">
        <x:v>Yoldia</x:v>
      </x:c>
      <x:c r="D247" s="33" t="str">
        <x:v>Yoldia thraciaeformis</x:v>
      </x:c>
      <x:c r="E247" s="59" t="n">
        <x:v>2.13</x:v>
      </x:c>
      <x:c r="F247" s="59"/>
      <x:c r="G247" s="59" t="str">
        <x:f>IF(F247="","",F247-E247)</x:f>
      </x:c>
      <x:c r="H247" s="59" t="str">
        <x:f>IF(G247="","",ABS(G247))</x:f>
      </x:c>
      <x:c r="I247" s="60" t="str">
        <x:f>IF(G247="","",ABS(G247/E247)*100)</x:f>
      </x:c>
      <x:c r="J247" s="33" t="str">
        <x:v>Yoldia</x:v>
      </x:c>
      <x:c r="K247" s="33" t="str">
        <x:v>Yoldiidae</x:v>
      </x:c>
      <x:c r="L247" s="33" t="str">
        <x:v>Benthic bivalves</x:v>
      </x:c>
      <x:c r="M247" s="33" t="str">
        <x:v>Mollusca (non-cephalopods)</x:v>
      </x:c>
    </x:row>
    <x:row r="248">
      <x:c r="A248" s="33" t="str">
        <x:v>Family</x:v>
      </x:c>
      <x:c r="B248" s="33" t="str">
        <x:v>Genus</x:v>
      </x:c>
      <x:c r="C248" s="33" t="str">
        <x:v>Aphrodita</x:v>
      </x:c>
      <x:c r="D248" s="33" t="str">
        <x:v>Aphrodita hastata</x:v>
      </x:c>
      <x:c r="E248" s="59" t="n">
        <x:v>2.03</x:v>
      </x:c>
      <x:c r="F248" s="59"/>
      <x:c r="G248" s="59" t="str">
        <x:f>IF(F248="","",F248-E248)</x:f>
      </x:c>
      <x:c r="H248" s="59" t="str">
        <x:f>IF(G248="","",ABS(G248))</x:f>
      </x:c>
      <x:c r="I248" s="60" t="str">
        <x:f>IF(G248="","",ABS(G248/E248)*100)</x:f>
      </x:c>
      <x:c r="J248" s="33" t="str">
        <x:v>Aphrodita</x:v>
      </x:c>
      <x:c r="K248" s="33" t="str">
        <x:v>Aphroditidae</x:v>
      </x:c>
      <x:c r="L248" s="33" t="str">
        <x:v>Other benthic polychaetes</x:v>
      </x:c>
      <x:c r="M248" s="33" t="str">
        <x:v>Annelida</x:v>
      </x:c>
    </x:row>
    <x:row r="249">
      <x:c r="A249" s="33" t="str">
        <x:v>Family</x:v>
      </x:c>
      <x:c r="B249" s="33" t="str">
        <x:v>Genus</x:v>
      </x:c>
      <x:c r="C249" s="33" t="str">
        <x:v>Luabrinereis</x:v>
      </x:c>
      <x:c r="D249" s="33" t="str">
        <x:v>Luabrinereis fragilis</x:v>
      </x:c>
      <x:c r="E249" s="59" t="n">
        <x:v>4.43</x:v>
      </x:c>
      <x:c r="F249" s="59"/>
      <x:c r="G249" s="59" t="str">
        <x:f>IF(F249="","",F249-E249)</x:f>
      </x:c>
      <x:c r="H249" s="59" t="str">
        <x:f>IF(G249="","",ABS(G249))</x:f>
      </x:c>
      <x:c r="I249" s="60" t="str">
        <x:f>IF(G249="","",ABS(G249/E249)*100)</x:f>
      </x:c>
      <x:c r="J249" s="33" t="str">
        <x:v>Luabrinereis</x:v>
      </x:c>
      <x:c r="K249" s="33"/>
      <x:c r="L249" s="33" t="str">
        <x:v>Other benthic polychaetes</x:v>
      </x:c>
      <x:c r="M249" s="33" t="str">
        <x:v>Annelida</x:v>
      </x:c>
    </x:row>
    <x:row r="250">
      <x:c r="A250" s="33" t="str">
        <x:v>Family</x:v>
      </x:c>
      <x:c r="B250" s="33" t="str">
        <x:v>Genus</x:v>
      </x:c>
      <x:c r="C250" s="33" t="str">
        <x:v>Nethys</x:v>
      </x:c>
      <x:c r="D250" s="33" t="str">
        <x:v>Nethys ciliata</x:v>
      </x:c>
      <x:c r="E250" s="59" t="n">
        <x:v>3.13</x:v>
      </x:c>
      <x:c r="F250" s="59"/>
      <x:c r="G250" s="59" t="str">
        <x:f>IF(F250="","",F250-E250)</x:f>
      </x:c>
      <x:c r="H250" s="59" t="str">
        <x:f>IF(G250="","",ABS(G250))</x:f>
      </x:c>
      <x:c r="I250" s="60" t="str">
        <x:f>IF(G250="","",ABS(G250/E250)*100)</x:f>
      </x:c>
      <x:c r="J250" s="33" t="str">
        <x:v>Nethys</x:v>
      </x:c>
      <x:c r="K250" s="33"/>
      <x:c r="L250" s="33" t="str">
        <x:v>Other benthic polychaetes</x:v>
      </x:c>
      <x:c r="M250" s="33" t="str">
        <x:v>Annelida</x:v>
      </x:c>
    </x:row>
    <x:row r="251">
      <x:c r="A251" s="33" t="str">
        <x:v>Family</x:v>
      </x:c>
      <x:c r="B251" s="33" t="str">
        <x:v>Genus</x:v>
      </x:c>
      <x:c r="C251" s="33" t="str">
        <x:v>Mallotus</x:v>
      </x:c>
      <x:c r="D251" s="33" t="str">
        <x:v>Mallotus villosus</x:v>
      </x:c>
      <x:c r="E251" s="59" t="n">
        <x:v>7.03</x:v>
      </x:c>
      <x:c r="F251" s="59" t="n">
        <x:v>11.05</x:v>
      </x:c>
      <x:c r="G251" s="59" t="n">
        <x:f>IF(F251="","",F251-E251)</x:f>
        <x:v>4.0200000000000005</x:v>
      </x:c>
      <x:c r="H251" s="59" t="n">
        <x:f>IF(G251="","",ABS(G251))</x:f>
        <x:v>4.0200000000000005</x:v>
      </x:c>
      <x:c r="I251" s="60" t="n">
        <x:f>IF(G251="","",ABS(G251/E251)*100)</x:f>
        <x:v>57.18349928876245</x:v>
      </x:c>
      <x:c r="J251" s="33" t="str">
        <x:v>Mallotus</x:v>
      </x:c>
      <x:c r="K251" s="33" t="str">
        <x:v>Osmeridae</x:v>
      </x:c>
      <x:c r="L251" s="33" t="str">
        <x:v>Small pelagic forage fishes</x:v>
      </x:c>
      <x:c r="M251" s="33" t="str">
        <x:v>Teleostei</x:v>
      </x:c>
    </x:row>
    <x:row r="252">
      <x:c r="A252" s="33" t="str">
        <x:v>Family</x:v>
      </x:c>
      <x:c r="B252" s="33" t="str">
        <x:v>Genus</x:v>
      </x:c>
      <x:c r="C252" s="33" t="str">
        <x:v>Thaleichthys</x:v>
      </x:c>
      <x:c r="D252" s="33" t="str">
        <x:v>Thaleichthys pacificus</x:v>
      </x:c>
      <x:c r="E252" s="59" t="n">
        <x:v>11.05</x:v>
      </x:c>
      <x:c r="F252" s="59" t="n">
        <x:v>7.03</x:v>
      </x:c>
      <x:c r="G252" s="59" t="n">
        <x:f>IF(F252="","",F252-E252)</x:f>
        <x:v>-4.0200000000000005</x:v>
      </x:c>
      <x:c r="H252" s="59" t="n">
        <x:f>IF(G252="","",ABS(G252))</x:f>
        <x:v>4.0200000000000005</x:v>
      </x:c>
      <x:c r="I252" s="60" t="n">
        <x:f>IF(G252="","",ABS(G252/E252)*100)</x:f>
        <x:v>36.38009049773756</x:v>
      </x:c>
      <x:c r="J252" s="33" t="str">
        <x:v>Thaleichthys</x:v>
      </x:c>
      <x:c r="K252" s="33" t="str">
        <x:v>Osmeridae</x:v>
      </x:c>
      <x:c r="L252" s="33" t="str">
        <x:v>Small pelagic forage fishes</x:v>
      </x:c>
      <x:c r="M252" s="33" t="str">
        <x:v>Teleostei</x:v>
      </x:c>
    </x:row>
    <x:row r="253">
      <x:c r="A253" s="33" t="str">
        <x:v>Family</x:v>
      </x:c>
      <x:c r="B253" s="33" t="str">
        <x:v>Genus</x:v>
      </x:c>
      <x:c r="C253" s="33" t="str">
        <x:v>Ammodytes</x:v>
      </x:c>
      <x:c r="D253" s="33" t="str">
        <x:v>Ammodytes hexapterus</x:v>
      </x:c>
      <x:c r="E253" s="59" t="n">
        <x:v>4.95</x:v>
      </x:c>
      <x:c r="F253" s="59" t="n">
        <x:v>4.8</x:v>
      </x:c>
      <x:c r="G253" s="59" t="n">
        <x:f>IF(F253="","",F253-E253)</x:f>
        <x:v>-0.15000000000000036</x:v>
      </x:c>
      <x:c r="H253" s="59" t="n">
        <x:f>IF(G253="","",ABS(G253))</x:f>
        <x:v>0.15000000000000036</x:v>
      </x:c>
      <x:c r="I253" s="60" t="n">
        <x:f>IF(G253="","",ABS(G253/E253)*100)</x:f>
        <x:v>3.0303030303030374</x:v>
      </x:c>
      <x:c r="J253" s="33" t="str">
        <x:v>Ammodytes</x:v>
      </x:c>
      <x:c r="K253" s="33" t="str">
        <x:v>Ammodytidae</x:v>
      </x:c>
      <x:c r="L253" s="33" t="str">
        <x:v>Small pelagic forage fishes</x:v>
      </x:c>
      <x:c r="M253" s="33" t="str">
        <x:v>Teleostei</x:v>
      </x:c>
    </x:row>
    <x:row r="254">
      <x:c r="A254" s="33" t="str">
        <x:v>Family</x:v>
      </x:c>
      <x:c r="B254" s="33" t="str">
        <x:v>Genus</x:v>
      </x:c>
      <x:c r="C254" s="33" t="str">
        <x:v>Cololabis</x:v>
      </x:c>
      <x:c r="D254" s="33" t="str">
        <x:v>Cololabis saira</x:v>
      </x:c>
      <x:c r="E254" s="59" t="n">
        <x:v>7</x:v>
      </x:c>
      <x:c r="F254" s="59" t="n">
        <x:v>5.8</x:v>
      </x:c>
      <x:c r="G254" s="59" t="n">
        <x:f>IF(F254="","",F254-E254)</x:f>
        <x:v>-1.2000000000000002</x:v>
      </x:c>
      <x:c r="H254" s="59" t="n">
        <x:f>IF(G254="","",ABS(G254))</x:f>
        <x:v>1.2000000000000002</x:v>
      </x:c>
      <x:c r="I254" s="60" t="n">
        <x:f>IF(G254="","",ABS(G254/E254)*100)</x:f>
        <x:v>17.142857142857146</x:v>
      </x:c>
      <x:c r="J254" s="33" t="str">
        <x:v>Cololabis</x:v>
      </x:c>
      <x:c r="K254" s="33" t="str">
        <x:v>Scomberesocidae</x:v>
      </x:c>
      <x:c r="L254" s="33" t="str">
        <x:v>Small pelagic forage fishes</x:v>
      </x:c>
      <x:c r="M254" s="33" t="str">
        <x:v>Teleostei</x:v>
      </x:c>
    </x:row>
    <x:row r="255">
      <x:c r="A255" s="33" t="str">
        <x:v>Family</x:v>
      </x:c>
      <x:c r="B255" s="33" t="str">
        <x:v>Genus</x:v>
      </x:c>
      <x:c r="C255" s="33" t="str">
        <x:v>Clupea</x:v>
      </x:c>
      <x:c r="D255" s="33" t="str">
        <x:v>Clupea pallasii</x:v>
      </x:c>
      <x:c r="E255" s="59" t="n">
        <x:v>7</x:v>
      </x:c>
      <x:c r="F255" s="59" t="n">
        <x:v>6.75</x:v>
      </x:c>
      <x:c r="G255" s="59" t="n">
        <x:f>IF(F255="","",F255-E255)</x:f>
        <x:v>-0.25</x:v>
      </x:c>
      <x:c r="H255" s="59" t="n">
        <x:f>IF(G255="","",ABS(G255))</x:f>
        <x:v>0.25</x:v>
      </x:c>
      <x:c r="I255" s="60" t="n">
        <x:f>IF(G255="","",ABS(G255/E255)*100)</x:f>
        <x:v>3.571428571428571</x:v>
      </x:c>
      <x:c r="J255" s="33" t="str">
        <x:v>Clupea</x:v>
      </x:c>
      <x:c r="K255" s="33" t="str">
        <x:v>Clupeidae</x:v>
      </x:c>
      <x:c r="L255" s="33" t="str">
        <x:v>Small pelagic forage fishes</x:v>
      </x:c>
      <x:c r="M255" s="33" t="str">
        <x:v>Teleostei</x:v>
      </x:c>
    </x:row>
    <x:row r="256">
      <x:c r="A256" s="33" t="str">
        <x:v>Family</x:v>
      </x:c>
      <x:c r="B256" s="33" t="str">
        <x:v>Genus</x:v>
      </x:c>
      <x:c r="C256" s="33" t="str">
        <x:v>Pleurogrammus</x:v>
      </x:c>
      <x:c r="D256" s="33" t="str">
        <x:v>Pleurogrammus monopterygius</x:v>
      </x:c>
      <x:c r="E256" s="59" t="n">
        <x:v>4.02</x:v>
      </x:c>
      <x:c r="F256" s="59" t="n">
        <x:v>3.98</x:v>
      </x:c>
      <x:c r="G256" s="59" t="n">
        <x:f>IF(F256="","",F256-E256)</x:f>
        <x:v>-0.03999999999999959</x:v>
      </x:c>
      <x:c r="H256" s="59" t="n">
        <x:f>IF(G256="","",ABS(G256))</x:f>
        <x:v>0.03999999999999959</x:v>
      </x:c>
      <x:c r="I256" s="60" t="n">
        <x:f>IF(G256="","",ABS(G256/E256)*100)</x:f>
        <x:v>0.9950248756218805</x:v>
      </x:c>
      <x:c r="J256" s="33" t="str">
        <x:v>Pleurogrammus</x:v>
      </x:c>
      <x:c r="K256" s="33" t="str">
        <x:v>Hexagrammidae</x:v>
      </x:c>
      <x:c r="L256" s="33" t="str">
        <x:v>Other demersal fishes</x:v>
      </x:c>
      <x:c r="M256" s="33" t="str">
        <x:v>Teleostei</x:v>
      </x:c>
    </x:row>
    <x:row r="257">
      <x:c r="A257" s="33" t="str">
        <x:v>Family</x:v>
      </x:c>
      <x:c r="B257" s="33" t="str">
        <x:v>Genus</x:v>
      </x:c>
      <x:c r="C257" s="33" t="str">
        <x:v>Ophiodon</x:v>
      </x:c>
      <x:c r="D257" s="33" t="str">
        <x:v>Ophiodon elongatus</x:v>
      </x:c>
      <x:c r="E257" s="59" t="n">
        <x:v>3.98</x:v>
      </x:c>
      <x:c r="F257" s="59" t="n">
        <x:v>4.02</x:v>
      </x:c>
      <x:c r="G257" s="59" t="n">
        <x:f>IF(F257="","",F257-E257)</x:f>
        <x:v>0.03999999999999959</x:v>
      </x:c>
      <x:c r="H257" s="59" t="n">
        <x:f>IF(G257="","",ABS(G257))</x:f>
        <x:v>0.03999999999999959</x:v>
      </x:c>
      <x:c r="I257" s="60" t="n">
        <x:f>IF(G257="","",ABS(G257/E257)*100)</x:f>
        <x:v>1.0050251256281304</x:v>
      </x:c>
      <x:c r="J257" s="33" t="str">
        <x:v>Ophiodon</x:v>
      </x:c>
      <x:c r="K257" s="33" t="str">
        <x:v>Hexagrammidae</x:v>
      </x:c>
      <x:c r="L257" s="33" t="str">
        <x:v>Other demersal fishes</x:v>
      </x:c>
      <x:c r="M257" s="33" t="str">
        <x:v>Teleostei</x:v>
      </x:c>
    </x:row>
    <x:row r="258">
      <x:c r="A258" s="33" t="str">
        <x:v>Ecological proxy</x:v>
      </x:c>
      <x:c r="B258" s="33" t="str">
        <x:v>Family</x:v>
      </x:c>
      <x:c r="C258" s="33" t="str">
        <x:v>Ulmaridae</x:v>
      </x:c>
      <x:c r="D258" s="33" t="str">
        <x:v>Aurelia aurita</x:v>
      </x:c>
      <x:c r="E258" s="59" t="n">
        <x:v>0.7</x:v>
      </x:c>
      <x:c r="F258" s="59"/>
      <x:c r="G258" s="59" t="str">
        <x:f>IF(F258="","",F258-E258)</x:f>
      </x:c>
      <x:c r="H258" s="59" t="str">
        <x:f>IF(G258="","",ABS(G258))</x:f>
      </x:c>
      <x:c r="I258" s="60" t="str">
        <x:f>IF(G258="","",ABS(G258/E258)*100)</x:f>
      </x:c>
      <x:c r="J258" s="33" t="str">
        <x:v>Aurelia</x:v>
      </x:c>
      <x:c r="K258" s="33" t="str">
        <x:v>Ulmaridae</x:v>
      </x:c>
      <x:c r="L258" s="33" t="str">
        <x:v>Gelatinous zooplankton - cnidarians</x:v>
      </x:c>
      <x:c r="M258" s="33" t="str">
        <x:v>Cnidaria</x:v>
      </x:c>
    </x:row>
    <x:row r="259">
      <x:c r="A259" s="33" t="str">
        <x:v>Ecological proxy</x:v>
      </x:c>
      <x:c r="B259" s="33" t="str">
        <x:v>Family</x:v>
      </x:c>
      <x:c r="C259" s="33" t="str">
        <x:v>Euphausiidae</x:v>
      </x:c>
      <x:c r="D259" s="33" t="str">
        <x:v>Meganyctiphanes norvegica</x:v>
      </x:c>
      <x:c r="E259" s="59" t="n">
        <x:v>3.9</x:v>
      </x:c>
      <x:c r="F259" s="59" t="n">
        <x:v>4.22</x:v>
      </x:c>
      <x:c r="G259" s="59" t="n">
        <x:f>IF(F259="","",F259-E259)</x:f>
        <x:v>0.31999999999999984</x:v>
      </x:c>
      <x:c r="H259" s="59" t="n">
        <x:f>IF(G259="","",ABS(G259))</x:f>
        <x:v>0.31999999999999984</x:v>
      </x:c>
      <x:c r="I259" s="60" t="n">
        <x:f>IF(G259="","",ABS(G259/E259)*100)</x:f>
        <x:v>8.2051282051282</x:v>
      </x:c>
      <x:c r="J259" s="33" t="str">
        <x:v>Meganyctiphanes</x:v>
      </x:c>
      <x:c r="K259" s="33" t="str">
        <x:v>Euphausiidae</x:v>
      </x:c>
      <x:c r="L259" s="33" t="str">
        <x:v>Pelagic planktonic euphausiids</x:v>
      </x:c>
      <x:c r="M259" s="33" t="str">
        <x:v>Crustacea</x:v>
      </x:c>
    </x:row>
    <x:row r="260">
      <x:c r="A260" s="33" t="str">
        <x:v>Ecological proxy</x:v>
      </x:c>
      <x:c r="B260" s="33" t="str">
        <x:v>Family</x:v>
      </x:c>
      <x:c r="C260" s="33" t="str">
        <x:v>Oplophoridae</x:v>
      </x:c>
      <x:c r="D260" s="33" t="str">
        <x:v>Acanthephyra purpurea</x:v>
      </x:c>
      <x:c r="E260" s="59" t="n">
        <x:v>5.3</x:v>
      </x:c>
      <x:c r="F260" s="59" t="n">
        <x:v>3.84</x:v>
      </x:c>
      <x:c r="G260" s="59" t="n">
        <x:f>IF(F260="","",F260-E260)</x:f>
        <x:v>-1.46</x:v>
      </x:c>
      <x:c r="H260" s="59" t="n">
        <x:f>IF(G260="","",ABS(G260))</x:f>
        <x:v>1.46</x:v>
      </x:c>
      <x:c r="I260" s="60" t="n">
        <x:f>IF(G260="","",ABS(G260/E260)*100)</x:f>
        <x:v>27.547169811320753</x:v>
      </x:c>
      <x:c r="J260" s="33" t="str">
        <x:v>Acanthephyra</x:v>
      </x:c>
      <x:c r="K260" s="33" t="str">
        <x:v>Oplophoridae</x:v>
      </x:c>
      <x:c r="L260" s="33" t="str">
        <x:v>Decapods (ecology unspecified)</x:v>
      </x:c>
      <x:c r="M260" s="33" t="str">
        <x:v>Crustacea</x:v>
      </x:c>
    </x:row>
    <x:row r="261">
      <x:c r="A261" s="33" t="str">
        <x:v>Ecological proxy</x:v>
      </x:c>
      <x:c r="B261" s="33" t="str">
        <x:v>Family</x:v>
      </x:c>
      <x:c r="C261" s="33" t="str">
        <x:v>Palaemonidae</x:v>
      </x:c>
      <x:c r="D261" s="33" t="str">
        <x:v>Palaemon longirostris</x:v>
      </x:c>
      <x:c r="E261" s="59" t="n">
        <x:v>3.4</x:v>
      </x:c>
      <x:c r="F261" s="59" t="n">
        <x:v>4.1</x:v>
      </x:c>
      <x:c r="G261" s="59" t="n">
        <x:f>IF(F261="","",F261-E261)</x:f>
        <x:v>0.6999999999999997</x:v>
      </x:c>
      <x:c r="H261" s="59" t="n">
        <x:f>IF(G261="","",ABS(G261))</x:f>
        <x:v>0.6999999999999997</x:v>
      </x:c>
      <x:c r="I261" s="60" t="n">
        <x:f>IF(G261="","",ABS(G261/E261)*100)</x:f>
        <x:v>20.58823529411764</x:v>
      </x:c>
      <x:c r="J261" s="33" t="str">
        <x:v>Palaemon</x:v>
      </x:c>
      <x:c r="K261" s="33" t="str">
        <x:v>Palaemonidae</x:v>
      </x:c>
      <x:c r="L261" s="33" t="str">
        <x:v>Decapods (ecology unspecified)</x:v>
      </x:c>
      <x:c r="M261" s="33" t="str">
        <x:v>Crustacea</x:v>
      </x:c>
    </x:row>
    <x:row r="262">
      <x:c r="A262" s="33" t="str">
        <x:v>Ecological proxy</x:v>
      </x:c>
      <x:c r="B262" s="33" t="str">
        <x:v>Family</x:v>
      </x:c>
      <x:c r="C262" s="33" t="str">
        <x:v>Pasiphaeidae</x:v>
      </x:c>
      <x:c r="D262" s="33" t="str">
        <x:v>Pasiphaea sivado</x:v>
      </x:c>
      <x:c r="E262" s="59" t="n">
        <x:v>4.1</x:v>
      </x:c>
      <x:c r="F262" s="59" t="n">
        <x:v>3.84</x:v>
      </x:c>
      <x:c r="G262" s="59" t="n">
        <x:f>IF(F262="","",F262-E262)</x:f>
        <x:v>-0.2599999999999998</x:v>
      </x:c>
      <x:c r="H262" s="59" t="n">
        <x:f>IF(G262="","",ABS(G262))</x:f>
        <x:v>0.2599999999999998</x:v>
      </x:c>
      <x:c r="I262" s="60" t="n">
        <x:f>IF(G262="","",ABS(G262/E262)*100)</x:f>
        <x:v>6.341463414634142</x:v>
      </x:c>
      <x:c r="J262" s="33" t="str">
        <x:v>Pasiphaea</x:v>
      </x:c>
      <x:c r="K262" s="33" t="str">
        <x:v>Pasiphaeidae</x:v>
      </x:c>
      <x:c r="L262" s="33" t="str">
        <x:v>Decapods (ecology unspecified)</x:v>
      </x:c>
      <x:c r="M262" s="33" t="str">
        <x:v>Crustacea</x:v>
      </x:c>
    </x:row>
    <x:row r="263">
      <x:c r="A263" s="33" t="str">
        <x:v>Ecological proxy</x:v>
      </x:c>
      <x:c r="B263" s="33" t="str">
        <x:v>Family</x:v>
      </x:c>
      <x:c r="C263" s="33" t="str">
        <x:v>Grapsidae</x:v>
      </x:c>
      <x:c r="D263" s="33" t="str">
        <x:v>Pachygrapsus marmoratus</x:v>
      </x:c>
      <x:c r="E263" s="59" t="n">
        <x:v>5.8</x:v>
      </x:c>
      <x:c r="F263" s="59" t="n">
        <x:v>3.07</x:v>
      </x:c>
      <x:c r="G263" s="59" t="n">
        <x:f>IF(F263="","",F263-E263)</x:f>
        <x:v>-2.73</x:v>
      </x:c>
      <x:c r="H263" s="59" t="n">
        <x:f>IF(G263="","",ABS(G263))</x:f>
        <x:v>2.73</x:v>
      </x:c>
      <x:c r="I263" s="60" t="n">
        <x:f>IF(G263="","",ABS(G263/E263)*100)</x:f>
        <x:v>47.06896551724138</x:v>
      </x:c>
      <x:c r="J263" s="33" t="str">
        <x:v>Pachygrapsus</x:v>
      </x:c>
      <x:c r="K263" s="33" t="str">
        <x:v>Grapsidae</x:v>
      </x:c>
      <x:c r="L263" s="33" t="str">
        <x:v>Benthic decapods</x:v>
      </x:c>
      <x:c r="M263" s="33" t="str">
        <x:v>Crustacea</x:v>
      </x:c>
    </x:row>
    <x:row r="264">
      <x:c r="A264" s="33" t="str">
        <x:v>Ecological proxy</x:v>
      </x:c>
      <x:c r="B264" s="33" t="str">
        <x:v>Family</x:v>
      </x:c>
      <x:c r="C264" s="33" t="str">
        <x:v>Portunidae</x:v>
      </x:c>
      <x:c r="D264" s="33" t="str">
        <x:v>Polybius henslowii</x:v>
      </x:c>
      <x:c r="E264" s="59" t="n">
        <x:v>4.2</x:v>
      </x:c>
      <x:c r="F264" s="59" t="n">
        <x:v>3.07</x:v>
      </x:c>
      <x:c r="G264" s="59" t="n">
        <x:f>IF(F264="","",F264-E264)</x:f>
        <x:v>-1.1300000000000003</x:v>
      </x:c>
      <x:c r="H264" s="59" t="n">
        <x:f>IF(G264="","",ABS(G264))</x:f>
        <x:v>1.1300000000000003</x:v>
      </x:c>
      <x:c r="I264" s="60" t="n">
        <x:f>IF(G264="","",ABS(G264/E264)*100)</x:f>
        <x:v>26.90476190476191</x:v>
      </x:c>
      <x:c r="J264" s="33" t="str">
        <x:v>Polybius</x:v>
      </x:c>
      <x:c r="K264" s="33" t="str">
        <x:v>Portunidae</x:v>
      </x:c>
      <x:c r="L264" s="33" t="str">
        <x:v>Benthic decapods</x:v>
      </x:c>
      <x:c r="M264" s="33" t="str">
        <x:v>Crustacea</x:v>
      </x:c>
    </x:row>
    <x:row r="265">
      <x:c r="A265" s="33" t="str">
        <x:v>Ecological proxy</x:v>
      </x:c>
      <x:c r="B265" s="33" t="str">
        <x:v>Family</x:v>
      </x:c>
      <x:c r="C265" s="33" t="str">
        <x:v>Portunidae</x:v>
      </x:c>
      <x:c r="D265" s="33" t="str">
        <x:v>Necora puber</x:v>
      </x:c>
      <x:c r="E265" s="59" t="n">
        <x:v>6.9</x:v>
      </x:c>
      <x:c r="F265" s="59" t="n">
        <x:v>3.07</x:v>
      </x:c>
      <x:c r="G265" s="59" t="n">
        <x:f>IF(F265="","",F265-E265)</x:f>
        <x:v>-3.8300000000000005</x:v>
      </x:c>
      <x:c r="H265" s="59" t="n">
        <x:f>IF(G265="","",ABS(G265))</x:f>
        <x:v>3.8300000000000005</x:v>
      </x:c>
      <x:c r="I265" s="60" t="n">
        <x:f>IF(G265="","",ABS(G265/E265)*100)</x:f>
        <x:v>55.5072463768116</x:v>
      </x:c>
      <x:c r="J265" s="33" t="str">
        <x:v>Necora</x:v>
      </x:c>
      <x:c r="K265" s="33" t="str">
        <x:v>Portunidae</x:v>
      </x:c>
      <x:c r="L265" s="33" t="str">
        <x:v>Benthic decapods</x:v>
      </x:c>
      <x:c r="M265" s="33" t="str">
        <x:v>Crustacea</x:v>
      </x:c>
    </x:row>
    <x:row r="266">
      <x:c r="A266" s="33" t="str">
        <x:v>Ecological proxy</x:v>
      </x:c>
      <x:c r="B266" s="33" t="str">
        <x:v>Family</x:v>
      </x:c>
      <x:c r="C266" s="33" t="str">
        <x:v>Loliginidae</x:v>
      </x:c>
      <x:c r="D266" s="33" t="str">
        <x:v>Loligo forbesi</x:v>
      </x:c>
      <x:c r="E266" s="59" t="n">
        <x:v>4.6</x:v>
      </x:c>
      <x:c r="F266" s="59" t="n">
        <x:v>3.81</x:v>
      </x:c>
      <x:c r="G266" s="59" t="n">
        <x:f>IF(F266="","",F266-E266)</x:f>
        <x:v>-0.7899999999999996</x:v>
      </x:c>
      <x:c r="H266" s="59" t="n">
        <x:f>IF(G266="","",ABS(G266))</x:f>
        <x:v>0.7899999999999996</x:v>
      </x:c>
      <x:c r="I266" s="60" t="n">
        <x:f>IF(G266="","",ABS(G266/E266)*100)</x:f>
        <x:v>17.173913043478255</x:v>
      </x:c>
      <x:c r="J266" s="33" t="str">
        <x:v>Loligo</x:v>
      </x:c>
      <x:c r="K266" s="33" t="str">
        <x:v>Loliginidae</x:v>
      </x:c>
      <x:c r="L266" s="33" t="str">
        <x:v>Pelagic squids</x:v>
      </x:c>
      <x:c r="M266" s="33" t="str">
        <x:v>Cephalopoda</x:v>
      </x:c>
    </x:row>
    <x:row r="267">
      <x:c r="A267" s="33" t="str">
        <x:v>Ecological proxy</x:v>
      </x:c>
      <x:c r="B267" s="33" t="str">
        <x:v>Family</x:v>
      </x:c>
      <x:c r="C267" s="33" t="str">
        <x:v>Loliginidae</x:v>
      </x:c>
      <x:c r="D267" s="33" t="str">
        <x:v>Loligo vulgaris</x:v>
      </x:c>
      <x:c r="E267" s="59" t="n">
        <x:v>4.8</x:v>
      </x:c>
      <x:c r="F267" s="59" t="n">
        <x:v>3.81</x:v>
      </x:c>
      <x:c r="G267" s="59" t="n">
        <x:f>IF(F267="","",F267-E267)</x:f>
        <x:v>-0.9899999999999998</x:v>
      </x:c>
      <x:c r="H267" s="59" t="n">
        <x:f>IF(G267="","",ABS(G267))</x:f>
        <x:v>0.9899999999999998</x:v>
      </x:c>
      <x:c r="I267" s="60" t="n">
        <x:f>IF(G267="","",ABS(G267/E267)*100)</x:f>
        <x:v>20.624999999999996</x:v>
      </x:c>
      <x:c r="J267" s="33" t="str">
        <x:v>Loligo</x:v>
      </x:c>
      <x:c r="K267" s="33" t="str">
        <x:v>Loliginidae</x:v>
      </x:c>
      <x:c r="L267" s="33" t="str">
        <x:v>Pelagic squids</x:v>
      </x:c>
      <x:c r="M267" s="33" t="str">
        <x:v>Cephalopoda</x:v>
      </x:c>
    </x:row>
    <x:row r="268">
      <x:c r="A268" s="33" t="str">
        <x:v>Ecological proxy</x:v>
      </x:c>
      <x:c r="B268" s="33" t="str">
        <x:v>Family</x:v>
      </x:c>
      <x:c r="C268" s="33" t="str">
        <x:v>Ommastrephidae</x:v>
      </x:c>
      <x:c r="D268" s="33" t="str">
        <x:v>Illex coindeti</x:v>
      </x:c>
      <x:c r="E268" s="59" t="n">
        <x:v>4.3</x:v>
      </x:c>
      <x:c r="F268" s="59" t="n">
        <x:v>3.81</x:v>
      </x:c>
      <x:c r="G268" s="59" t="n">
        <x:f>IF(F268="","",F268-E268)</x:f>
        <x:v>-0.48999999999999977</x:v>
      </x:c>
      <x:c r="H268" s="59" t="n">
        <x:f>IF(G268="","",ABS(G268))</x:f>
        <x:v>0.48999999999999977</x:v>
      </x:c>
      <x:c r="I268" s="60" t="n">
        <x:f>IF(G268="","",ABS(G268/E268)*100)</x:f>
        <x:v>11.395348837209298</x:v>
      </x:c>
      <x:c r="J268" s="33" t="str">
        <x:v>Illex</x:v>
      </x:c>
      <x:c r="K268" s="33" t="str">
        <x:v>Ommastrephidae</x:v>
      </x:c>
      <x:c r="L268" s="33" t="str">
        <x:v>Pelagic squids</x:v>
      </x:c>
      <x:c r="M268" s="33" t="str">
        <x:v>Cephalopoda</x:v>
      </x:c>
    </x:row>
    <x:row r="269">
      <x:c r="A269" s="33" t="str">
        <x:v>Ecological proxy</x:v>
      </x:c>
      <x:c r="B269" s="33" t="str">
        <x:v>Family</x:v>
      </x:c>
      <x:c r="C269" s="33" t="str">
        <x:v>Ommastrephidae</x:v>
      </x:c>
      <x:c r="D269" s="33" t="str">
        <x:v>Todaropsis eblanae</x:v>
      </x:c>
      <x:c r="E269" s="59" t="n">
        <x:v>4.4</x:v>
      </x:c>
      <x:c r="F269" s="59" t="n">
        <x:v>3.81</x:v>
      </x:c>
      <x:c r="G269" s="59" t="n">
        <x:f>IF(F269="","",F269-E269)</x:f>
        <x:v>-0.5900000000000003</x:v>
      </x:c>
      <x:c r="H269" s="59" t="n">
        <x:f>IF(G269="","",ABS(G269))</x:f>
        <x:v>0.5900000000000003</x:v>
      </x:c>
      <x:c r="I269" s="60" t="n">
        <x:f>IF(G269="","",ABS(G269/E269)*100)</x:f>
        <x:v>13.409090909090915</x:v>
      </x:c>
      <x:c r="J269" s="33" t="str">
        <x:v>Todaropsis</x:v>
      </x:c>
      <x:c r="K269" s="33" t="str">
        <x:v>Ommastrephidae</x:v>
      </x:c>
      <x:c r="L269" s="33" t="str">
        <x:v>Pelagic squids</x:v>
      </x:c>
      <x:c r="M269" s="33" t="str">
        <x:v>Cephalopoda</x:v>
      </x:c>
    </x:row>
    <x:row r="270">
      <x:c r="A270" s="33" t="str">
        <x:v>Ecological proxy</x:v>
      </x:c>
      <x:c r="B270" s="33" t="str">
        <x:v>Family</x:v>
      </x:c>
      <x:c r="C270" s="33" t="str">
        <x:v>Sepiidae</x:v>
      </x:c>
      <x:c r="D270" s="33" t="str">
        <x:v>Sepia officinalis</x:v>
      </x:c>
      <x:c r="E270" s="59" t="n">
        <x:v>3.8</x:v>
      </x:c>
      <x:c r="F270" s="59"/>
      <x:c r="G270" s="59" t="str">
        <x:f>IF(F270="","",F270-E270)</x:f>
      </x:c>
      <x:c r="H270" s="59" t="str">
        <x:f>IF(G270="","",ABS(G270))</x:f>
      </x:c>
      <x:c r="I270" s="60" t="str">
        <x:f>IF(G270="","",ABS(G270/E270)*100)</x:f>
      </x:c>
      <x:c r="J270" s="33" t="str">
        <x:v>Sepia</x:v>
      </x:c>
      <x:c r="K270" s="33" t="str">
        <x:v>Sepiidae</x:v>
      </x:c>
      <x:c r="L270" s="33" t="str">
        <x:v>Demersal/benthopelagic cuttlefishes</x:v>
      </x:c>
      <x:c r="M270" s="33" t="str">
        <x:v>Cephalopoda</x:v>
      </x:c>
    </x:row>
    <x:row r="271">
      <x:c r="A271" s="33" t="str">
        <x:v>Ecological proxy</x:v>
      </x:c>
      <x:c r="B271" s="33" t="str">
        <x:v>Family</x:v>
      </x:c>
      <x:c r="C271" s="33" t="str">
        <x:v>Octopodidae</x:v>
      </x:c>
      <x:c r="D271" s="33" t="str">
        <x:v>Eledone cirrhosa</x:v>
      </x:c>
      <x:c r="E271" s="59" t="n">
        <x:v>4.7</x:v>
      </x:c>
      <x:c r="F271" s="59"/>
      <x:c r="G271" s="59" t="str">
        <x:f>IF(F271="","",F271-E271)</x:f>
      </x:c>
      <x:c r="H271" s="59" t="str">
        <x:f>IF(G271="","",ABS(G271))</x:f>
      </x:c>
      <x:c r="I271" s="60" t="str">
        <x:f>IF(G271="","",ABS(G271/E271)*100)</x:f>
      </x:c>
      <x:c r="J271" s="33" t="str">
        <x:v>Eledone</x:v>
      </x:c>
      <x:c r="K271" s="33" t="str">
        <x:v>Octopodidae</x:v>
      </x:c>
      <x:c r="L271" s="33" t="str">
        <x:v>Benthic octopuses</x:v>
      </x:c>
      <x:c r="M271" s="33" t="str">
        <x:v>Cephalopoda</x:v>
      </x:c>
    </x:row>
    <x:row r="272">
      <x:c r="A272" s="33" t="str">
        <x:v>Ecological proxy</x:v>
      </x:c>
      <x:c r="B272" s="33" t="str">
        <x:v>Family</x:v>
      </x:c>
      <x:c r="C272" s="33" t="str">
        <x:v>Scyliorhinidae</x:v>
      </x:c>
      <x:c r="D272" s="33" t="str">
        <x:v>Scyliorhinus canicula</x:v>
      </x:c>
      <x:c r="E272" s="59" t="n">
        <x:v>6.4</x:v>
      </x:c>
      <x:c r="F272" s="59"/>
      <x:c r="G272" s="59" t="str">
        <x:f>IF(F272="","",F272-E272)</x:f>
      </x:c>
      <x:c r="H272" s="59" t="str">
        <x:f>IF(G272="","",ABS(G272))</x:f>
      </x:c>
      <x:c r="I272" s="60" t="str">
        <x:f>IF(G272="","",ABS(G272/E272)*100)</x:f>
      </x:c>
      <x:c r="J272" s="33" t="str">
        <x:v>Scyliorhinus</x:v>
      </x:c>
      <x:c r="K272" s="33" t="str">
        <x:v>Scyliorhinidae</x:v>
      </x:c>
      <x:c r="L272" s="33" t="str">
        <x:v>Demersal sharks</x:v>
      </x:c>
      <x:c r="M272" s="33" t="str">
        <x:v>Chondrichthyes</x:v>
      </x:c>
    </x:row>
    <x:row r="273">
      <x:c r="A273" s="33" t="str">
        <x:v>Ecological proxy</x:v>
      </x:c>
      <x:c r="B273" s="33" t="str">
        <x:v>Family</x:v>
      </x:c>
      <x:c r="C273" s="33" t="str">
        <x:v>Rajidae</x:v>
      </x:c>
      <x:c r="D273" s="33" t="str">
        <x:v>Leucoraja naevus</x:v>
      </x:c>
      <x:c r="E273" s="59" t="n">
        <x:v>5.7</x:v>
      </x:c>
      <x:c r="F273" s="59"/>
      <x:c r="G273" s="59" t="str">
        <x:f>IF(F273="","",F273-E273)</x:f>
      </x:c>
      <x:c r="H273" s="59" t="str">
        <x:f>IF(G273="","",ABS(G273))</x:f>
      </x:c>
      <x:c r="I273" s="60" t="str">
        <x:f>IF(G273="","",ABS(G273/E273)*100)</x:f>
      </x:c>
      <x:c r="J273" s="33" t="str">
        <x:v>Leucoraja</x:v>
      </x:c>
      <x:c r="K273" s="33" t="str">
        <x:v>Rajidae</x:v>
      </x:c>
      <x:c r="L273" s="33" t="str">
        <x:v>Demersal rays</x:v>
      </x:c>
      <x:c r="M273" s="33" t="str">
        <x:v>Chondrichthyes</x:v>
      </x:c>
    </x:row>
    <x:row r="274">
      <x:c r="A274" s="33" t="str">
        <x:v>Ecological proxy</x:v>
      </x:c>
      <x:c r="B274" s="33" t="str">
        <x:v>Family</x:v>
      </x:c>
      <x:c r="C274" s="33" t="str">
        <x:v>Chimaeridae</x:v>
      </x:c>
      <x:c r="D274" s="33" t="str">
        <x:v>Chimaera monstrosa</x:v>
      </x:c>
      <x:c r="E274" s="59" t="n">
        <x:v>3.9</x:v>
      </x:c>
      <x:c r="F274" s="59"/>
      <x:c r="G274" s="59" t="str">
        <x:f>IF(F274="","",F274-E274)</x:f>
      </x:c>
      <x:c r="H274" s="59" t="str">
        <x:f>IF(G274="","",ABS(G274))</x:f>
      </x:c>
      <x:c r="I274" s="60" t="str">
        <x:f>IF(G274="","",ABS(G274/E274)*100)</x:f>
      </x:c>
      <x:c r="J274" s="33" t="str">
        <x:v>Chimaera</x:v>
      </x:c>
      <x:c r="K274" s="33" t="str">
        <x:v>Chimaeridae</x:v>
      </x:c>
      <x:c r="L274" s="33" t="str">
        <x:v>Demersal chimaeras</x:v>
      </x:c>
      <x:c r="M274" s="33" t="str">
        <x:v>Chondrichthyes</x:v>
      </x:c>
    </x:row>
    <x:row r="275">
      <x:c r="A275" s="33" t="str">
        <x:v>Ecological proxy</x:v>
      </x:c>
      <x:c r="B275" s="33" t="str">
        <x:v>Family</x:v>
      </x:c>
      <x:c r="C275" s="33" t="str">
        <x:v>Serrivomeridae</x:v>
      </x:c>
      <x:c r="D275" s="33" t="str">
        <x:v>Serrivomer beanii</x:v>
      </x:c>
      <x:c r="E275" s="59" t="n">
        <x:v>2.1</x:v>
      </x:c>
      <x:c r="F275" s="59" t="n">
        <x:v>4.92</x:v>
      </x:c>
      <x:c r="G275" s="59" t="n">
        <x:f>IF(F275="","",F275-E275)</x:f>
        <x:v>2.82</x:v>
      </x:c>
      <x:c r="H275" s="59" t="n">
        <x:f>IF(G275="","",ABS(G275))</x:f>
        <x:v>2.82</x:v>
      </x:c>
      <x:c r="I275" s="60" t="n">
        <x:f>IF(G275="","",ABS(G275/E275)*100)</x:f>
        <x:v>134.28571428571428</x:v>
      </x:c>
      <x:c r="J275" s="33" t="str">
        <x:v>Serrivomer</x:v>
      </x:c>
      <x:c r="K275" s="33" t="str">
        <x:v>Serrivomeridae</x:v>
      </x:c>
      <x:c r="L275" s="33" t="str">
        <x:v>Unclassified teleosts</x:v>
      </x:c>
      <x:c r="M275" s="33" t="str">
        <x:v>Teleostei</x:v>
      </x:c>
    </x:row>
    <x:row r="276">
      <x:c r="A276" s="33" t="str">
        <x:v>Ecological proxy</x:v>
      </x:c>
      <x:c r="B276" s="33" t="str">
        <x:v>Family</x:v>
      </x:c>
      <x:c r="C276" s="33" t="str">
        <x:v>Clupeidae</x:v>
      </x:c>
      <x:c r="D276" s="33" t="str">
        <x:v>Sprattus sprattus</x:v>
      </x:c>
      <x:c r="E276" s="59" t="n">
        <x:v>6.5</x:v>
      </x:c>
      <x:c r="F276" s="59" t="n">
        <x:v>6</x:v>
      </x:c>
      <x:c r="G276" s="59" t="n">
        <x:f>IF(F276="","",F276-E276)</x:f>
        <x:v>-0.5</x:v>
      </x:c>
      <x:c r="H276" s="59" t="n">
        <x:f>IF(G276="","",ABS(G276))</x:f>
        <x:v>0.5</x:v>
      </x:c>
      <x:c r="I276" s="60" t="n">
        <x:f>IF(G276="","",ABS(G276/E276)*100)</x:f>
        <x:v>7.6923076923076925</x:v>
      </x:c>
      <x:c r="J276" s="33" t="str">
        <x:v>Sprattus</x:v>
      </x:c>
      <x:c r="K276" s="33" t="str">
        <x:v>Clupeidae</x:v>
      </x:c>
      <x:c r="L276" s="33" t="str">
        <x:v>Small pelagic forage fishes</x:v>
      </x:c>
      <x:c r="M276" s="33" t="str">
        <x:v>Teleostei</x:v>
      </x:c>
    </x:row>
    <x:row r="277">
      <x:c r="A277" s="33" t="str">
        <x:v>Ecological proxy</x:v>
      </x:c>
      <x:c r="B277" s="33" t="str">
        <x:v>Family</x:v>
      </x:c>
      <x:c r="C277" s="33" t="str">
        <x:v>Clupeidae</x:v>
      </x:c>
      <x:c r="D277" s="33" t="str">
        <x:v>Sardina pilchardus</x:v>
      </x:c>
      <x:c r="E277" s="59" t="n">
        <x:v>8.7</x:v>
      </x:c>
      <x:c r="F277" s="59" t="n">
        <x:v>6</x:v>
      </x:c>
      <x:c r="G277" s="59" t="n">
        <x:f>IF(F277="","",F277-E277)</x:f>
        <x:v>-2.6999999999999993</x:v>
      </x:c>
      <x:c r="H277" s="59" t="n">
        <x:f>IF(G277="","",ABS(G277))</x:f>
        <x:v>2.6999999999999993</x:v>
      </x:c>
      <x:c r="I277" s="60" t="n">
        <x:f>IF(G277="","",ABS(G277/E277)*100)</x:f>
        <x:v>31.034482758620683</x:v>
      </x:c>
      <x:c r="J277" s="33" t="str">
        <x:v>Sardina</x:v>
      </x:c>
      <x:c r="K277" s="33" t="str">
        <x:v>Clupeidae</x:v>
      </x:c>
      <x:c r="L277" s="33" t="str">
        <x:v>Small pelagic forage fishes</x:v>
      </x:c>
      <x:c r="M277" s="33" t="str">
        <x:v>Teleostei</x:v>
      </x:c>
    </x:row>
    <x:row r="278">
      <x:c r="A278" s="33" t="str">
        <x:v>Ecological proxy</x:v>
      </x:c>
      <x:c r="B278" s="33" t="str">
        <x:v>Family</x:v>
      </x:c>
      <x:c r="C278" s="33" t="str">
        <x:v>Clupeidae</x:v>
      </x:c>
      <x:c r="D278" s="33" t="str">
        <x:v>Clupea harengus</x:v>
      </x:c>
      <x:c r="E278" s="59" t="n">
        <x:v>7.955</x:v>
      </x:c>
      <x:c r="F278" s="59" t="n">
        <x:v>6</x:v>
      </x:c>
      <x:c r="G278" s="59" t="n">
        <x:f>IF(F278="","",F278-E278)</x:f>
        <x:v>-1.955</x:v>
      </x:c>
      <x:c r="H278" s="59" t="n">
        <x:f>IF(G278="","",ABS(G278))</x:f>
        <x:v>1.955</x:v>
      </x:c>
      <x:c r="I278" s="60" t="n">
        <x:f>IF(G278="","",ABS(G278/E278)*100)</x:f>
        <x:v>24.5757385292269</x:v>
      </x:c>
      <x:c r="J278" s="33" t="str">
        <x:v>Clupea</x:v>
      </x:c>
      <x:c r="K278" s="33" t="str">
        <x:v>Clupeidae</x:v>
      </x:c>
      <x:c r="L278" s="33" t="str">
        <x:v>Small pelagic forage fishes</x:v>
      </x:c>
      <x:c r="M278" s="33" t="str">
        <x:v>Teleostei</x:v>
      </x:c>
    </x:row>
    <x:row r="279">
      <x:c r="A279" s="33" t="str">
        <x:v>Ecological proxy</x:v>
      </x:c>
      <x:c r="B279" s="33" t="str">
        <x:v>Family</x:v>
      </x:c>
      <x:c r="C279" s="33" t="str">
        <x:v>Engraulidae</x:v>
      </x:c>
      <x:c r="D279" s="33" t="str">
        <x:v>Engraulis encrasicolus</x:v>
      </x:c>
      <x:c r="E279" s="59" t="n">
        <x:v>5.8</x:v>
      </x:c>
      <x:c r="F279" s="59" t="n">
        <x:v>6.745</x:v>
      </x:c>
      <x:c r="G279" s="59" t="n">
        <x:f>IF(F279="","",F279-E279)</x:f>
        <x:v>0.9450000000000003</x:v>
      </x:c>
      <x:c r="H279" s="59" t="n">
        <x:f>IF(G279="","",ABS(G279))</x:f>
        <x:v>0.9450000000000003</x:v>
      </x:c>
      <x:c r="I279" s="60" t="n">
        <x:f>IF(G279="","",ABS(G279/E279)*100)</x:f>
        <x:v>16.29310344827587</x:v>
      </x:c>
      <x:c r="J279" s="33" t="str">
        <x:v>Engraulis</x:v>
      </x:c>
      <x:c r="K279" s="33" t="str">
        <x:v>Engraulidae</x:v>
      </x:c>
      <x:c r="L279" s="33" t="str">
        <x:v>Small pelagic forage fishes</x:v>
      </x:c>
      <x:c r="M279" s="33" t="str">
        <x:v>Teleostei</x:v>
      </x:c>
    </x:row>
    <x:row r="280">
      <x:c r="A280" s="33" t="str">
        <x:v>Ecological proxy</x:v>
      </x:c>
      <x:c r="B280" s="33" t="str">
        <x:v>Family</x:v>
      </x:c>
      <x:c r="C280" s="33" t="str">
        <x:v>Alepocephalidae</x:v>
      </x:c>
      <x:c r="D280" s="33" t="str">
        <x:v>Xenodermichtys copei</x:v>
      </x:c>
      <x:c r="E280" s="59" t="n">
        <x:v>2.2</x:v>
      </x:c>
      <x:c r="F280" s="59" t="n">
        <x:v>4.92</x:v>
      </x:c>
      <x:c r="G280" s="59" t="n">
        <x:f>IF(F280="","",F280-E280)</x:f>
        <x:v>2.7199999999999998</x:v>
      </x:c>
      <x:c r="H280" s="59" t="n">
        <x:f>IF(G280="","",ABS(G280))</x:f>
        <x:v>2.7199999999999998</x:v>
      </x:c>
      <x:c r="I280" s="60" t="n">
        <x:f>IF(G280="","",ABS(G280/E280)*100)</x:f>
        <x:v>123.63636363636361</x:v>
      </x:c>
      <x:c r="J280" s="33" t="str">
        <x:v>Xenodermichtys</x:v>
      </x:c>
      <x:c r="K280" s="33" t="str">
        <x:v>Alepocephalidae</x:v>
      </x:c>
      <x:c r="L280" s="33" t="str">
        <x:v>Unclassified teleosts</x:v>
      </x:c>
      <x:c r="M280" s="33" t="str">
        <x:v>Teleostei</x:v>
      </x:c>
    </x:row>
    <x:row r="281">
      <x:c r="A281" s="33" t="str">
        <x:v>Ecological proxy</x:v>
      </x:c>
      <x:c r="B281" s="33" t="str">
        <x:v>Family</x:v>
      </x:c>
      <x:c r="C281" s="33" t="str">
        <x:v>Argentinidae</x:v>
      </x:c>
      <x:c r="D281" s="33" t="str">
        <x:v>Argentina sphyraena</x:v>
      </x:c>
      <x:c r="E281" s="59" t="n">
        <x:v>6.1</x:v>
      </x:c>
      <x:c r="F281" s="59" t="n">
        <x:v>4.92</x:v>
      </x:c>
      <x:c r="G281" s="59" t="n">
        <x:f>IF(F281="","",F281-E281)</x:f>
        <x:v>-1.1799999999999997</x:v>
      </x:c>
      <x:c r="H281" s="59" t="n">
        <x:f>IF(G281="","",ABS(G281))</x:f>
        <x:v>1.1799999999999997</x:v>
      </x:c>
      <x:c r="I281" s="60" t="n">
        <x:f>IF(G281="","",ABS(G281/E281)*100)</x:f>
        <x:v>19.34426229508196</x:v>
      </x:c>
      <x:c r="J281" s="33" t="str">
        <x:v>Argentina</x:v>
      </x:c>
      <x:c r="K281" s="33" t="str">
        <x:v>Argentinidae</x:v>
      </x:c>
      <x:c r="L281" s="33" t="str">
        <x:v>Unclassified teleosts</x:v>
      </x:c>
      <x:c r="M281" s="33" t="str">
        <x:v>Teleostei</x:v>
      </x:c>
    </x:row>
    <x:row r="282">
      <x:c r="A282" s="33" t="str">
        <x:v>Ecological proxy</x:v>
      </x:c>
      <x:c r="B282" s="33" t="str">
        <x:v>Family</x:v>
      </x:c>
      <x:c r="C282" s="33" t="str">
        <x:v>Platytroctidae</x:v>
      </x:c>
      <x:c r="D282" s="33" t="str">
        <x:v>Normichthys operosa</x:v>
      </x:c>
      <x:c r="E282" s="59" t="n">
        <x:v>2.6</x:v>
      </x:c>
      <x:c r="F282" s="59" t="n">
        <x:v>4.92</x:v>
      </x:c>
      <x:c r="G282" s="59" t="n">
        <x:f>IF(F282="","",F282-E282)</x:f>
        <x:v>2.32</x:v>
      </x:c>
      <x:c r="H282" s="59" t="n">
        <x:f>IF(G282="","",ABS(G282))</x:f>
        <x:v>2.32</x:v>
      </x:c>
      <x:c r="I282" s="60" t="n">
        <x:f>IF(G282="","",ABS(G282/E282)*100)</x:f>
        <x:v>89.23076923076923</x:v>
      </x:c>
      <x:c r="J282" s="33" t="str">
        <x:v>Normichthys</x:v>
      </x:c>
      <x:c r="K282" s="33" t="str">
        <x:v>Platytroctidae</x:v>
      </x:c>
      <x:c r="L282" s="33" t="str">
        <x:v>Unclassified teleosts</x:v>
      </x:c>
      <x:c r="M282" s="33" t="str">
        <x:v>Teleostei</x:v>
      </x:c>
    </x:row>
    <x:row r="283">
      <x:c r="A283" s="33" t="str">
        <x:v>Ecological proxy</x:v>
      </x:c>
      <x:c r="B283" s="33" t="str">
        <x:v>Family</x:v>
      </x:c>
      <x:c r="C283" s="33" t="str">
        <x:v>Sternoptychidae</x:v>
      </x:c>
      <x:c r="D283" s="33" t="str">
        <x:v>Argyropelecus olfersii</x:v>
      </x:c>
      <x:c r="E283" s="59" t="n">
        <x:v>3.5</x:v>
      </x:c>
      <x:c r="F283" s="59" t="n">
        <x:v>6.9</x:v>
      </x:c>
      <x:c r="G283" s="59" t="n">
        <x:f>IF(F283="","",F283-E283)</x:f>
        <x:v>3.4000000000000004</x:v>
      </x:c>
      <x:c r="H283" s="59" t="n">
        <x:f>IF(G283="","",ABS(G283))</x:f>
        <x:v>3.4000000000000004</x:v>
      </x:c>
      <x:c r="I283" s="60" t="n">
        <x:f>IF(G283="","",ABS(G283/E283)*100)</x:f>
        <x:v>97.14285714285715</x:v>
      </x:c>
      <x:c r="J283" s="33" t="str">
        <x:v>Argyropelecus</x:v>
      </x:c>
      <x:c r="K283" s="33" t="str">
        <x:v>Sternoptychidae</x:v>
      </x:c>
      <x:c r="L283" s="33" t="str">
        <x:v>Mesopelagic forage fishes</x:v>
      </x:c>
      <x:c r="M283" s="33" t="str">
        <x:v>Teleostei</x:v>
      </x:c>
    </x:row>
    <x:row r="284">
      <x:c r="A284" s="33" t="str">
        <x:v>Ecological proxy</x:v>
      </x:c>
      <x:c r="B284" s="33" t="str">
        <x:v>Family</x:v>
      </x:c>
      <x:c r="C284" s="33" t="str">
        <x:v>Sternoptychidae</x:v>
      </x:c>
      <x:c r="D284" s="33" t="str">
        <x:v>Maurolicus muelleri</x:v>
      </x:c>
      <x:c r="E284" s="59" t="n">
        <x:v>4.2</x:v>
      </x:c>
      <x:c r="F284" s="59" t="n">
        <x:v>6.9</x:v>
      </x:c>
      <x:c r="G284" s="59" t="n">
        <x:f>IF(F284="","",F284-E284)</x:f>
        <x:v>2.7</x:v>
      </x:c>
      <x:c r="H284" s="59" t="n">
        <x:f>IF(G284="","",ABS(G284))</x:f>
        <x:v>2.7</x:v>
      </x:c>
      <x:c r="I284" s="60" t="n">
        <x:f>IF(G284="","",ABS(G284/E284)*100)</x:f>
        <x:v>64.28571428571429</x:v>
      </x:c>
      <x:c r="J284" s="33" t="str">
        <x:v>Maurolicus</x:v>
      </x:c>
      <x:c r="K284" s="33" t="str">
        <x:v>Sternoptychidae</x:v>
      </x:c>
      <x:c r="L284" s="33" t="str">
        <x:v>Mesopelagic forage fishes</x:v>
      </x:c>
      <x:c r="M284" s="33" t="str">
        <x:v>Teleostei</x:v>
      </x:c>
    </x:row>
    <x:row r="285">
      <x:c r="A285" s="33" t="str">
        <x:v>Ecological proxy</x:v>
      </x:c>
      <x:c r="B285" s="33" t="str">
        <x:v>Family</x:v>
      </x:c>
      <x:c r="C285" s="33" t="str">
        <x:v>Stomiidae</x:v>
      </x:c>
      <x:c r="D285" s="33" t="str">
        <x:v>Stomias boa</x:v>
      </x:c>
      <x:c r="E285" s="59" t="n">
        <x:v>2.8</x:v>
      </x:c>
      <x:c r="F285" s="59" t="n">
        <x:v>4.92</x:v>
      </x:c>
      <x:c r="G285" s="59" t="n">
        <x:f>IF(F285="","",F285-E285)</x:f>
        <x:v>2.12</x:v>
      </x:c>
      <x:c r="H285" s="59" t="n">
        <x:f>IF(G285="","",ABS(G285))</x:f>
        <x:v>2.12</x:v>
      </x:c>
      <x:c r="I285" s="60" t="n">
        <x:f>IF(G285="","",ABS(G285/E285)*100)</x:f>
        <x:v>75.71428571428572</x:v>
      </x:c>
      <x:c r="J285" s="33" t="str">
        <x:v>Stomias</x:v>
      </x:c>
      <x:c r="K285" s="33" t="str">
        <x:v>Stomiidae</x:v>
      </x:c>
      <x:c r="L285" s="33" t="str">
        <x:v>Unclassified teleosts</x:v>
      </x:c>
      <x:c r="M285" s="33" t="str">
        <x:v>Teleostei</x:v>
      </x:c>
    </x:row>
    <x:row r="286">
      <x:c r="A286" s="33" t="str">
        <x:v>Ecological proxy</x:v>
      </x:c>
      <x:c r="B286" s="33" t="str">
        <x:v>Family</x:v>
      </x:c>
      <x:c r="C286" s="33" t="str">
        <x:v>Paralepididae</x:v>
      </x:c>
      <x:c r="D286" s="33" t="str">
        <x:v>Arctozenus risso</x:v>
      </x:c>
      <x:c r="E286" s="59" t="n">
        <x:v>4.3</x:v>
      </x:c>
      <x:c r="F286" s="59" t="n">
        <x:v>4.92</x:v>
      </x:c>
      <x:c r="G286" s="59" t="n">
        <x:f>IF(F286="","",F286-E286)</x:f>
        <x:v>0.6200000000000001</x:v>
      </x:c>
      <x:c r="H286" s="59" t="n">
        <x:f>IF(G286="","",ABS(G286))</x:f>
        <x:v>0.6200000000000001</x:v>
      </x:c>
      <x:c r="I286" s="60" t="n">
        <x:f>IF(G286="","",ABS(G286/E286)*100)</x:f>
        <x:v>14.418604651162795</x:v>
      </x:c>
      <x:c r="J286" s="33" t="str">
        <x:v>Arctozenus</x:v>
      </x:c>
      <x:c r="K286" s="33" t="str">
        <x:v>Paralepididae</x:v>
      </x:c>
      <x:c r="L286" s="33" t="str">
        <x:v>Unclassified teleosts</x:v>
      </x:c>
      <x:c r="M286" s="33" t="str">
        <x:v>Teleostei</x:v>
      </x:c>
    </x:row>
    <x:row r="287">
      <x:c r="A287" s="33" t="str">
        <x:v>Ecological proxy</x:v>
      </x:c>
      <x:c r="B287" s="33" t="str">
        <x:v>Family</x:v>
      </x:c>
      <x:c r="C287" s="33" t="str">
        <x:v>Myctophidae</x:v>
      </x:c>
      <x:c r="D287" s="33" t="str">
        <x:v>Lampanyctus crocodilus</x:v>
      </x:c>
      <x:c r="E287" s="59" t="n">
        <x:v>4.1</x:v>
      </x:c>
      <x:c r="F287" s="59" t="n">
        <x:v>3.85</x:v>
      </x:c>
      <x:c r="G287" s="59" t="n">
        <x:f>IF(F287="","",F287-E287)</x:f>
        <x:v>-0.24999999999999956</x:v>
      </x:c>
      <x:c r="H287" s="59" t="n">
        <x:f>IF(G287="","",ABS(G287))</x:f>
        <x:v>0.24999999999999956</x:v>
      </x:c>
      <x:c r="I287" s="60" t="n">
        <x:f>IF(G287="","",ABS(G287/E287)*100)</x:f>
        <x:v>6.0975609756097455</x:v>
      </x:c>
      <x:c r="J287" s="33" t="str">
        <x:v>Lampanyctus</x:v>
      </x:c>
      <x:c r="K287" s="33" t="str">
        <x:v>Myctophidae</x:v>
      </x:c>
      <x:c r="L287" s="33" t="str">
        <x:v>Mesopelagic forage fishes</x:v>
      </x:c>
      <x:c r="M287" s="33" t="str">
        <x:v>Teleostei</x:v>
      </x:c>
    </x:row>
    <x:row r="288">
      <x:c r="A288" s="33" t="str">
        <x:v>Ecological proxy</x:v>
      </x:c>
      <x:c r="B288" s="33" t="str">
        <x:v>Family</x:v>
      </x:c>
      <x:c r="C288" s="33" t="str">
        <x:v>Myctophidae</x:v>
      </x:c>
      <x:c r="D288" s="33" t="str">
        <x:v>Benthosema glaciale</x:v>
      </x:c>
      <x:c r="E288" s="59" t="n">
        <x:v>5.9</x:v>
      </x:c>
      <x:c r="F288" s="59" t="n">
        <x:v>3.85</x:v>
      </x:c>
      <x:c r="G288" s="59" t="n">
        <x:f>IF(F288="","",F288-E288)</x:f>
        <x:v>-2.0500000000000003</x:v>
      </x:c>
      <x:c r="H288" s="59" t="n">
        <x:f>IF(G288="","",ABS(G288))</x:f>
        <x:v>2.0500000000000003</x:v>
      </x:c>
      <x:c r="I288" s="60" t="n">
        <x:f>IF(G288="","",ABS(G288/E288)*100)</x:f>
        <x:v>34.74576271186441</x:v>
      </x:c>
      <x:c r="J288" s="33" t="str">
        <x:v>Benthosema</x:v>
      </x:c>
      <x:c r="K288" s="33" t="str">
        <x:v>Myctophidae</x:v>
      </x:c>
      <x:c r="L288" s="33" t="str">
        <x:v>Mesopelagic forage fishes</x:v>
      </x:c>
      <x:c r="M288" s="33" t="str">
        <x:v>Teleostei</x:v>
      </x:c>
    </x:row>
    <x:row r="289">
      <x:c r="A289" s="33" t="str">
        <x:v>Ecological proxy</x:v>
      </x:c>
      <x:c r="B289" s="33" t="str">
        <x:v>Family</x:v>
      </x:c>
      <x:c r="C289" s="33" t="str">
        <x:v>Myctophidae</x:v>
      </x:c>
      <x:c r="D289" s="33" t="str">
        <x:v>Notoscopelus kroyeri</x:v>
      </x:c>
      <x:c r="E289" s="59" t="n">
        <x:v>7.9</x:v>
      </x:c>
      <x:c r="F289" s="59" t="n">
        <x:v>3.85</x:v>
      </x:c>
      <x:c r="G289" s="59" t="n">
        <x:f>IF(F289="","",F289-E289)</x:f>
        <x:v>-4.050000000000001</x:v>
      </x:c>
      <x:c r="H289" s="59" t="n">
        <x:f>IF(G289="","",ABS(G289))</x:f>
        <x:v>4.050000000000001</x:v>
      </x:c>
      <x:c r="I289" s="60" t="n">
        <x:f>IF(G289="","",ABS(G289/E289)*100)</x:f>
        <x:v>51.26582278481013</x:v>
      </x:c>
      <x:c r="J289" s="33" t="str">
        <x:v>Notoscopelus</x:v>
      </x:c>
      <x:c r="K289" s="33" t="str">
        <x:v>Myctophidae</x:v>
      </x:c>
      <x:c r="L289" s="33" t="str">
        <x:v>Mesopelagic forage fishes</x:v>
      </x:c>
      <x:c r="M289" s="33" t="str">
        <x:v>Teleostei</x:v>
      </x:c>
    </x:row>
    <x:row r="290">
      <x:c r="A290" s="33" t="str">
        <x:v>Ecological proxy</x:v>
      </x:c>
      <x:c r="B290" s="33" t="str">
        <x:v>Family</x:v>
      </x:c>
      <x:c r="C290" s="33" t="str">
        <x:v>Myctophidae</x:v>
      </x:c>
      <x:c r="D290" s="33" t="str">
        <x:v>Lobianchia gemellari</x:v>
      </x:c>
      <x:c r="E290" s="59" t="n">
        <x:v>8.6</x:v>
      </x:c>
      <x:c r="F290" s="59" t="n">
        <x:v>3.85</x:v>
      </x:c>
      <x:c r="G290" s="59" t="n">
        <x:f>IF(F290="","",F290-E290)</x:f>
        <x:v>-4.75</x:v>
      </x:c>
      <x:c r="H290" s="59" t="n">
        <x:f>IF(G290="","",ABS(G290))</x:f>
        <x:v>4.75</x:v>
      </x:c>
      <x:c r="I290" s="60" t="n">
        <x:f>IF(G290="","",ABS(G290/E290)*100)</x:f>
        <x:v>55.23255813953488</x:v>
      </x:c>
      <x:c r="J290" s="33" t="str">
        <x:v>Lobianchia</x:v>
      </x:c>
      <x:c r="K290" s="33" t="str">
        <x:v>Myctophidae</x:v>
      </x:c>
      <x:c r="L290" s="33" t="str">
        <x:v>Mesopelagic forage fishes</x:v>
      </x:c>
      <x:c r="M290" s="33" t="str">
        <x:v>Teleostei</x:v>
      </x:c>
    </x:row>
    <x:row r="291">
      <x:c r="A291" s="33" t="str">
        <x:v>Ecological proxy</x:v>
      </x:c>
      <x:c r="B291" s="33" t="str">
        <x:v>Family</x:v>
      </x:c>
      <x:c r="C291" s="33" t="str">
        <x:v>Macrouridae</x:v>
      </x:c>
      <x:c r="D291" s="33" t="str">
        <x:v>Coelorinchus coelorinchus</x:v>
      </x:c>
      <x:c r="E291" s="59" t="n">
        <x:v>5.1</x:v>
      </x:c>
      <x:c r="F291" s="59" t="n">
        <x:v>5</x:v>
      </x:c>
      <x:c r="G291" s="59" t="n">
        <x:f>IF(F291="","",F291-E291)</x:f>
        <x:v>-0.09999999999999964</x:v>
      </x:c>
      <x:c r="H291" s="59" t="n">
        <x:f>IF(G291="","",ABS(G291))</x:f>
        <x:v>0.09999999999999964</x:v>
      </x:c>
      <x:c r="I291" s="60" t="n">
        <x:f>IF(G291="","",ABS(G291/E291)*100)</x:f>
        <x:v>1.9607843137254832</x:v>
      </x:c>
      <x:c r="J291" s="33" t="str">
        <x:v>Coelorinchus</x:v>
      </x:c>
      <x:c r="K291" s="33" t="str">
        <x:v>Macrouridae</x:v>
      </x:c>
      <x:c r="L291" s="33" t="str">
        <x:v>Other demersal fishes</x:v>
      </x:c>
      <x:c r="M291" s="33" t="str">
        <x:v>Teleostei</x:v>
      </x:c>
    </x:row>
    <x:row r="292">
      <x:c r="A292" s="33" t="str">
        <x:v>Ecological proxy</x:v>
      </x:c>
      <x:c r="B292" s="33" t="str">
        <x:v>Family</x:v>
      </x:c>
      <x:c r="C292" s="33" t="str">
        <x:v>Gadidae</x:v>
      </x:c>
      <x:c r="D292" s="33" t="str">
        <x:v>Merlangius merlangus</x:v>
      </x:c>
      <x:c r="E292" s="59" t="n">
        <x:v>3.9</x:v>
      </x:c>
      <x:c r="F292" s="59" t="n">
        <x:v>5.1</x:v>
      </x:c>
      <x:c r="G292" s="59" t="n">
        <x:f>IF(F292="","",F292-E292)</x:f>
        <x:v>1.1999999999999997</x:v>
      </x:c>
      <x:c r="H292" s="59" t="n">
        <x:f>IF(G292="","",ABS(G292))</x:f>
        <x:v>1.1999999999999997</x:v>
      </x:c>
      <x:c r="I292" s="60" t="n">
        <x:f>IF(G292="","",ABS(G292/E292)*100)</x:f>
        <x:v>30.769230769230766</x:v>
      </x:c>
      <x:c r="J292" s="33" t="str">
        <x:v>Merlangius</x:v>
      </x:c>
      <x:c r="K292" s="33" t="str">
        <x:v>Gadidae</x:v>
      </x:c>
      <x:c r="L292" s="33" t="str">
        <x:v>Other demersal fishes</x:v>
      </x:c>
      <x:c r="M292" s="33" t="str">
        <x:v>Teleostei</x:v>
      </x:c>
    </x:row>
    <x:row r="293">
      <x:c r="A293" s="33" t="str">
        <x:v>Ecological proxy</x:v>
      </x:c>
      <x:c r="B293" s="33" t="str">
        <x:v>Family</x:v>
      </x:c>
      <x:c r="C293" s="33" t="str">
        <x:v>Gadidae</x:v>
      </x:c>
      <x:c r="D293" s="33" t="str">
        <x:v>Pollachius pollachius</x:v>
      </x:c>
      <x:c r="E293" s="59" t="n">
        <x:v>4.2</x:v>
      </x:c>
      <x:c r="F293" s="59" t="n">
        <x:v>5.1</x:v>
      </x:c>
      <x:c r="G293" s="59" t="n">
        <x:f>IF(F293="","",F293-E293)</x:f>
        <x:v>0.8999999999999995</x:v>
      </x:c>
      <x:c r="H293" s="59" t="n">
        <x:f>IF(G293="","",ABS(G293))</x:f>
        <x:v>0.8999999999999995</x:v>
      </x:c>
      <x:c r="I293" s="60" t="n">
        <x:f>IF(G293="","",ABS(G293/E293)*100)</x:f>
        <x:v>21.428571428571416</x:v>
      </x:c>
      <x:c r="J293" s="33" t="str">
        <x:v>Pollachius</x:v>
      </x:c>
      <x:c r="K293" s="33" t="str">
        <x:v>Gadidae</x:v>
      </x:c>
      <x:c r="L293" s="33" t="str">
        <x:v>Other demersal fishes</x:v>
      </x:c>
      <x:c r="M293" s="33" t="str">
        <x:v>Teleostei</x:v>
      </x:c>
    </x:row>
    <x:row r="294">
      <x:c r="A294" s="33" t="str">
        <x:v>Ecological proxy</x:v>
      </x:c>
      <x:c r="B294" s="33" t="str">
        <x:v>Family</x:v>
      </x:c>
      <x:c r="C294" s="33" t="str">
        <x:v>Gadidae</x:v>
      </x:c>
      <x:c r="D294" s="33" t="str">
        <x:v>Micromesistius poutassou</x:v>
      </x:c>
      <x:c r="E294" s="59" t="n">
        <x:v>4.4</x:v>
      </x:c>
      <x:c r="F294" s="59" t="n">
        <x:v>5.1</x:v>
      </x:c>
      <x:c r="G294" s="59" t="n">
        <x:f>IF(F294="","",F294-E294)</x:f>
        <x:v>0.6999999999999993</x:v>
      </x:c>
      <x:c r="H294" s="59" t="n">
        <x:f>IF(G294="","",ABS(G294))</x:f>
        <x:v>0.6999999999999993</x:v>
      </x:c>
      <x:c r="I294" s="60" t="n">
        <x:f>IF(G294="","",ABS(G294/E294)*100)</x:f>
        <x:v>15.909090909090892</x:v>
      </x:c>
      <x:c r="J294" s="33" t="str">
        <x:v>Micromesistius</x:v>
      </x:c>
      <x:c r="K294" s="33" t="str">
        <x:v>Gadidae</x:v>
      </x:c>
      <x:c r="L294" s="33" t="str">
        <x:v>Other demersal fishes</x:v>
      </x:c>
      <x:c r="M294" s="33" t="str">
        <x:v>Teleostei</x:v>
      </x:c>
    </x:row>
    <x:row r="295">
      <x:c r="A295" s="33" t="str">
        <x:v>Ecological proxy</x:v>
      </x:c>
      <x:c r="B295" s="33" t="str">
        <x:v>Family</x:v>
      </x:c>
      <x:c r="C295" s="33" t="str">
        <x:v>Gadidae</x:v>
      </x:c>
      <x:c r="D295" s="33" t="str">
        <x:v>Trisopterus luscus</x:v>
      </x:c>
      <x:c r="E295" s="59" t="n">
        <x:v>4.7</x:v>
      </x:c>
      <x:c r="F295" s="59" t="n">
        <x:v>5.1</x:v>
      </x:c>
      <x:c r="G295" s="59" t="n">
        <x:f>IF(F295="","",F295-E295)</x:f>
        <x:v>0.39999999999999947</x:v>
      </x:c>
      <x:c r="H295" s="59" t="n">
        <x:f>IF(G295="","",ABS(G295))</x:f>
        <x:v>0.39999999999999947</x:v>
      </x:c>
      <x:c r="I295" s="60" t="n">
        <x:f>IF(G295="","",ABS(G295/E295)*100)</x:f>
        <x:v>8.51063829787233</x:v>
      </x:c>
      <x:c r="J295" s="33" t="str">
        <x:v>Trisopterus</x:v>
      </x:c>
      <x:c r="K295" s="33" t="str">
        <x:v>Gadidae</x:v>
      </x:c>
      <x:c r="L295" s="33" t="str">
        <x:v>Other demersal fishes</x:v>
      </x:c>
      <x:c r="M295" s="33" t="str">
        <x:v>Teleostei</x:v>
      </x:c>
    </x:row>
    <x:row r="296">
      <x:c r="A296" s="33" t="str">
        <x:v>Ecological proxy</x:v>
      </x:c>
      <x:c r="B296" s="33" t="str">
        <x:v>Family</x:v>
      </x:c>
      <x:c r="C296" s="33" t="str">
        <x:v>Gadidae</x:v>
      </x:c>
      <x:c r="D296" s="33" t="str">
        <x:v>Gadiculus argenteus</x:v>
      </x:c>
      <x:c r="E296" s="59" t="n">
        <x:v>5</x:v>
      </x:c>
      <x:c r="F296" s="59" t="n">
        <x:v>5.1</x:v>
      </x:c>
      <x:c r="G296" s="59" t="n">
        <x:f>IF(F296="","",F296-E296)</x:f>
        <x:v>0.09999999999999964</x:v>
      </x:c>
      <x:c r="H296" s="59" t="n">
        <x:f>IF(G296="","",ABS(G296))</x:f>
        <x:v>0.09999999999999964</x:v>
      </x:c>
      <x:c r="I296" s="60" t="n">
        <x:f>IF(G296="","",ABS(G296/E296)*100)</x:f>
        <x:v>1.9999999999999927</x:v>
      </x:c>
      <x:c r="J296" s="33" t="str">
        <x:v>Gadiculus</x:v>
      </x:c>
      <x:c r="K296" s="33" t="str">
        <x:v>Gadidae</x:v>
      </x:c>
      <x:c r="L296" s="33" t="str">
        <x:v>Other demersal fishes</x:v>
      </x:c>
      <x:c r="M296" s="33" t="str">
        <x:v>Teleostei</x:v>
      </x:c>
    </x:row>
    <x:row r="297">
      <x:c r="A297" s="33" t="str">
        <x:v>Ecological proxy</x:v>
      </x:c>
      <x:c r="B297" s="33" t="str">
        <x:v>Family</x:v>
      </x:c>
      <x:c r="C297" s="33" t="str">
        <x:v>Gadidae</x:v>
      </x:c>
      <x:c r="D297" s="33" t="str">
        <x:v>Trisopterus minutus</x:v>
      </x:c>
      <x:c r="E297" s="59" t="n">
        <x:v>5.1</x:v>
      </x:c>
      <x:c r="F297" s="59" t="n">
        <x:v>5.1</x:v>
      </x:c>
      <x:c r="G297" s="59" t="n">
        <x:f>IF(F297="","",F297-E297)</x:f>
        <x:v>0</x:v>
      </x:c>
      <x:c r="H297" s="59" t="str">
        <x:f>IF(G297="","",ABS(G297))</x:f>
      </x:c>
      <x:c r="I297" s="60" t="str">
        <x:f>IF(G297="","",ABS(G297/E297)*100)</x:f>
      </x:c>
      <x:c r="J297" s="33" t="str">
        <x:v>Trisopterus</x:v>
      </x:c>
      <x:c r="K297" s="33" t="str">
        <x:v>Gadidae</x:v>
      </x:c>
      <x:c r="L297" s="33" t="str">
        <x:v>Other demersal fishes</x:v>
      </x:c>
      <x:c r="M297" s="33" t="str">
        <x:v>Teleostei</x:v>
      </x:c>
    </x:row>
    <x:row r="298">
      <x:c r="A298" s="33" t="str">
        <x:v>Ecological proxy</x:v>
      </x:c>
      <x:c r="B298" s="33" t="str">
        <x:v>Family</x:v>
      </x:c>
      <x:c r="C298" s="33" t="str">
        <x:v>Phycidae</x:v>
      </x:c>
      <x:c r="D298" s="33" t="str">
        <x:v>Phycis blennoides</x:v>
      </x:c>
      <x:c r="E298" s="59" t="n">
        <x:v>5</x:v>
      </x:c>
      <x:c r="F298" s="59" t="n">
        <x:v>4.92</x:v>
      </x:c>
      <x:c r="G298" s="59" t="n">
        <x:f>IF(F298="","",F298-E298)</x:f>
        <x:v>-0.08000000000000007</x:v>
      </x:c>
      <x:c r="H298" s="59" t="n">
        <x:f>IF(G298="","",ABS(G298))</x:f>
        <x:v>0.08000000000000007</x:v>
      </x:c>
      <x:c r="I298" s="60" t="n">
        <x:f>IF(G298="","",ABS(G298/E298)*100)</x:f>
        <x:v>1.6000000000000014</x:v>
      </x:c>
      <x:c r="J298" s="33" t="str">
        <x:v>Phycis</x:v>
      </x:c>
      <x:c r="K298" s="33" t="str">
        <x:v>Phycidae</x:v>
      </x:c>
      <x:c r="L298" s="33" t="str">
        <x:v>Unclassified teleosts</x:v>
      </x:c>
      <x:c r="M298" s="33" t="str">
        <x:v>Teleostei</x:v>
      </x:c>
    </x:row>
    <x:row r="299">
      <x:c r="A299" s="33" t="str">
        <x:v>Ecological proxy</x:v>
      </x:c>
      <x:c r="B299" s="33" t="str">
        <x:v>Family</x:v>
      </x:c>
      <x:c r="C299" s="33" t="str">
        <x:v>Merlucciidae</x:v>
      </x:c>
      <x:c r="D299" s="33" t="str">
        <x:v>Merluccius merluccius</x:v>
      </x:c>
      <x:c r="E299" s="59" t="n">
        <x:v>3.7</x:v>
      </x:c>
      <x:c r="F299" s="59" t="n">
        <x:v>5.06</x:v>
      </x:c>
      <x:c r="G299" s="59" t="n">
        <x:f>IF(F299="","",F299-E299)</x:f>
        <x:v>1.3599999999999994</x:v>
      </x:c>
      <x:c r="H299" s="59" t="n">
        <x:f>IF(G299="","",ABS(G299))</x:f>
        <x:v>1.3599999999999994</x:v>
      </x:c>
      <x:c r="I299" s="60" t="n">
        <x:f>IF(G299="","",ABS(G299/E299)*100)</x:f>
        <x:v>36.756756756756744</x:v>
      </x:c>
      <x:c r="J299" s="33" t="str">
        <x:v>Merluccius</x:v>
      </x:c>
      <x:c r="K299" s="33" t="str">
        <x:v>Merlucciidae</x:v>
      </x:c>
      <x:c r="L299" s="33" t="str">
        <x:v>Other demersal fishes</x:v>
      </x:c>
      <x:c r="M299" s="33" t="str">
        <x:v>Teleostei</x:v>
      </x:c>
    </x:row>
    <x:row r="300">
      <x:c r="A300" s="33" t="str">
        <x:v>Ecological proxy</x:v>
      </x:c>
      <x:c r="B300" s="33" t="str">
        <x:v>Family</x:v>
      </x:c>
      <x:c r="C300" s="33" t="str">
        <x:v>Atherinidae</x:v>
      </x:c>
      <x:c r="D300" s="33" t="str">
        <x:v>Atherina presbyter</x:v>
      </x:c>
      <x:c r="E300" s="59" t="n">
        <x:v>7.3</x:v>
      </x:c>
      <x:c r="F300" s="59" t="n">
        <x:v>6.745</x:v>
      </x:c>
      <x:c r="G300" s="59" t="n">
        <x:f>IF(F300="","",F300-E300)</x:f>
        <x:v>-0.5549999999999997</x:v>
      </x:c>
      <x:c r="H300" s="59" t="n">
        <x:f>IF(G300="","",ABS(G300))</x:f>
        <x:v>0.5549999999999997</x:v>
      </x:c>
      <x:c r="I300" s="60" t="n">
        <x:f>IF(G300="","",ABS(G300/E300)*100)</x:f>
        <x:v>7.6027397260273935</x:v>
      </x:c>
      <x:c r="J300" s="33" t="str">
        <x:v>Atherina</x:v>
      </x:c>
      <x:c r="K300" s="33" t="str">
        <x:v>Atherinidae</x:v>
      </x:c>
      <x:c r="L300" s="33" t="str">
        <x:v>Small pelagic forage fishes</x:v>
      </x:c>
      <x:c r="M300" s="33" t="str">
        <x:v>Teleostei</x:v>
      </x:c>
    </x:row>
    <x:row r="301">
      <x:c r="A301" s="33" t="str">
        <x:v>Ecological proxy</x:v>
      </x:c>
      <x:c r="B301" s="33" t="str">
        <x:v>Family</x:v>
      </x:c>
      <x:c r="C301" s="33" t="str">
        <x:v>Belonidae</x:v>
      </x:c>
      <x:c r="D301" s="33" t="str">
        <x:v>Belone belone</x:v>
      </x:c>
      <x:c r="E301" s="59" t="n">
        <x:v>6.2</x:v>
      </x:c>
      <x:c r="F301" s="59" t="n">
        <x:v>4.92</x:v>
      </x:c>
      <x:c r="G301" s="59" t="n">
        <x:f>IF(F301="","",F301-E301)</x:f>
        <x:v>-1.2800000000000002</x:v>
      </x:c>
      <x:c r="H301" s="59" t="n">
        <x:f>IF(G301="","",ABS(G301))</x:f>
        <x:v>1.2800000000000002</x:v>
      </x:c>
      <x:c r="I301" s="60" t="n">
        <x:f>IF(G301="","",ABS(G301/E301)*100)</x:f>
        <x:v>20.645161290322584</x:v>
      </x:c>
      <x:c r="J301" s="33" t="str">
        <x:v>Belone</x:v>
      </x:c>
      <x:c r="K301" s="33" t="str">
        <x:v>Belonidae</x:v>
      </x:c>
      <x:c r="L301" s="33" t="str">
        <x:v>Unclassified teleosts</x:v>
      </x:c>
      <x:c r="M301" s="33" t="str">
        <x:v>Teleostei</x:v>
      </x:c>
    </x:row>
    <x:row r="302">
      <x:c r="A302" s="33" t="str">
        <x:v>Ecological proxy</x:v>
      </x:c>
      <x:c r="B302" s="33" t="str">
        <x:v>Family</x:v>
      </x:c>
      <x:c r="C302" s="33" t="str">
        <x:v>Scomberesocidae</x:v>
      </x:c>
      <x:c r="D302" s="33" t="str">
        <x:v>Scomberesox saurus</x:v>
      </x:c>
      <x:c r="E302" s="59" t="n">
        <x:v>5.8</x:v>
      </x:c>
      <x:c r="F302" s="59" t="n">
        <x:v>4.92</x:v>
      </x:c>
      <x:c r="G302" s="59" t="n">
        <x:f>IF(F302="","",F302-E302)</x:f>
        <x:v>-0.8799999999999999</x:v>
      </x:c>
      <x:c r="H302" s="59" t="n">
        <x:f>IF(G302="","",ABS(G302))</x:f>
        <x:v>0.8799999999999999</x:v>
      </x:c>
      <x:c r="I302" s="60" t="n">
        <x:f>IF(G302="","",ABS(G302/E302)*100)</x:f>
        <x:v>15.172413793103448</x:v>
      </x:c>
      <x:c r="J302" s="33" t="str">
        <x:v>Scomberesox</x:v>
      </x:c>
      <x:c r="K302" s="33" t="str">
        <x:v>Scomberesocidae</x:v>
      </x:c>
      <x:c r="L302" s="33" t="str">
        <x:v>Unclassified teleosts</x:v>
      </x:c>
      <x:c r="M302" s="33" t="str">
        <x:v>Teleostei</x:v>
      </x:c>
    </x:row>
    <x:row r="303">
      <x:c r="A303" s="33" t="str">
        <x:v>Ecological proxy</x:v>
      </x:c>
      <x:c r="B303" s="33" t="str">
        <x:v>Family</x:v>
      </x:c>
      <x:c r="C303" s="33" t="str">
        <x:v>Trachichthyidae</x:v>
      </x:c>
      <x:c r="D303" s="33" t="str">
        <x:v>Hoplostethus mediterraneus</x:v>
      </x:c>
      <x:c r="E303" s="59" t="n">
        <x:v>4.7</x:v>
      </x:c>
      <x:c r="F303" s="59" t="n">
        <x:v>4.92</x:v>
      </x:c>
      <x:c r="G303" s="59" t="n">
        <x:f>IF(F303="","",F303-E303)</x:f>
        <x:v>0.21999999999999975</x:v>
      </x:c>
      <x:c r="H303" s="59" t="n">
        <x:f>IF(G303="","",ABS(G303))</x:f>
        <x:v>0.21999999999999975</x:v>
      </x:c>
      <x:c r="I303" s="60" t="n">
        <x:f>IF(G303="","",ABS(G303/E303)*100)</x:f>
        <x:v>4.680851063829781</x:v>
      </x:c>
      <x:c r="J303" s="33" t="str">
        <x:v>Hoplostethus</x:v>
      </x:c>
      <x:c r="K303" s="33" t="str">
        <x:v>Trachichthyidae</x:v>
      </x:c>
      <x:c r="L303" s="33" t="str">
        <x:v>Unclassified teleosts</x:v>
      </x:c>
      <x:c r="M303" s="33" t="str">
        <x:v>Teleostei</x:v>
      </x:c>
    </x:row>
    <x:row r="304">
      <x:c r="A304" s="33" t="str">
        <x:v>Ecological proxy</x:v>
      </x:c>
      <x:c r="B304" s="33" t="str">
        <x:v>Family</x:v>
      </x:c>
      <x:c r="C304" s="33" t="str">
        <x:v>Caproidae</x:v>
      </x:c>
      <x:c r="D304" s="33" t="str">
        <x:v>Capros aper</x:v>
      </x:c>
      <x:c r="E304" s="59" t="n">
        <x:v>6.2</x:v>
      </x:c>
      <x:c r="F304" s="59" t="n">
        <x:v>4.92</x:v>
      </x:c>
      <x:c r="G304" s="59" t="n">
        <x:f>IF(F304="","",F304-E304)</x:f>
        <x:v>-1.2800000000000002</x:v>
      </x:c>
      <x:c r="H304" s="59" t="n">
        <x:f>IF(G304="","",ABS(G304))</x:f>
        <x:v>1.2800000000000002</x:v>
      </x:c>
      <x:c r="I304" s="60" t="n">
        <x:f>IF(G304="","",ABS(G304/E304)*100)</x:f>
        <x:v>20.645161290322584</x:v>
      </x:c>
      <x:c r="J304" s="33" t="str">
        <x:v>Capros</x:v>
      </x:c>
      <x:c r="K304" s="33" t="str">
        <x:v>Caproidae</x:v>
      </x:c>
      <x:c r="L304" s="33" t="str">
        <x:v>Unclassified teleosts</x:v>
      </x:c>
      <x:c r="M304" s="33" t="str">
        <x:v>Teleostei</x:v>
      </x:c>
    </x:row>
    <x:row r="305">
      <x:c r="A305" s="33" t="str">
        <x:v>Ecological proxy</x:v>
      </x:c>
      <x:c r="B305" s="33" t="str">
        <x:v>Family</x:v>
      </x:c>
      <x:c r="C305" s="33" t="str">
        <x:v>Syngnathidae</x:v>
      </x:c>
      <x:c r="D305" s="33" t="str">
        <x:v>Entelurus aequoreus</x:v>
      </x:c>
      <x:c r="E305" s="59" t="n">
        <x:v>4.7</x:v>
      </x:c>
      <x:c r="F305" s="59" t="n">
        <x:v>4.92</x:v>
      </x:c>
      <x:c r="G305" s="59" t="n">
        <x:f>IF(F305="","",F305-E305)</x:f>
        <x:v>0.21999999999999975</x:v>
      </x:c>
      <x:c r="H305" s="59" t="n">
        <x:f>IF(G305="","",ABS(G305))</x:f>
        <x:v>0.21999999999999975</x:v>
      </x:c>
      <x:c r="I305" s="60" t="n">
        <x:f>IF(G305="","",ABS(G305/E305)*100)</x:f>
        <x:v>4.680851063829781</x:v>
      </x:c>
      <x:c r="J305" s="33" t="str">
        <x:v>Entelurus</x:v>
      </x:c>
      <x:c r="K305" s="33" t="str">
        <x:v>Syngnathidae</x:v>
      </x:c>
      <x:c r="L305" s="33" t="str">
        <x:v>Unclassified teleosts</x:v>
      </x:c>
      <x:c r="M305" s="33" t="str">
        <x:v>Teleostei</x:v>
      </x:c>
    </x:row>
    <x:row r="306">
      <x:c r="A306" s="33" t="str">
        <x:v>Ecological proxy</x:v>
      </x:c>
      <x:c r="B306" s="33" t="str">
        <x:v>Family</x:v>
      </x:c>
      <x:c r="C306" s="33" t="str">
        <x:v>Sebastidae</x:v>
      </x:c>
      <x:c r="D306" s="33" t="str">
        <x:v>Helicolenus dactylopterus</x:v>
      </x:c>
      <x:c r="E306" s="59" t="n">
        <x:v>9.2</x:v>
      </x:c>
      <x:c r="F306" s="59" t="n">
        <x:v>4.92</x:v>
      </x:c>
      <x:c r="G306" s="59" t="n">
        <x:f>IF(F306="","",F306-E306)</x:f>
        <x:v>-4.279999999999999</x:v>
      </x:c>
      <x:c r="H306" s="59" t="n">
        <x:f>IF(G306="","",ABS(G306))</x:f>
        <x:v>4.279999999999999</x:v>
      </x:c>
      <x:c r="I306" s="60" t="n">
        <x:f>IF(G306="","",ABS(G306/E306)*100)</x:f>
        <x:v>46.52173913043478</x:v>
      </x:c>
      <x:c r="J306" s="33" t="str">
        <x:v>Helicolenus</x:v>
      </x:c>
      <x:c r="K306" s="33" t="str">
        <x:v>Sebastidae</x:v>
      </x:c>
      <x:c r="L306" s="33" t="str">
        <x:v>Unclassified teleosts</x:v>
      </x:c>
      <x:c r="M306" s="33" t="str">
        <x:v>Teleostei</x:v>
      </x:c>
    </x:row>
    <x:row r="307">
      <x:c r="A307" s="33" t="str">
        <x:v>Ecological proxy</x:v>
      </x:c>
      <x:c r="B307" s="33" t="str">
        <x:v>Family</x:v>
      </x:c>
      <x:c r="C307" s="33" t="str">
        <x:v>Scorpaenidae</x:v>
      </x:c>
      <x:c r="D307" s="33" t="str">
        <x:v>Scorpaena loppei</x:v>
      </x:c>
      <x:c r="E307" s="59" t="n">
        <x:v>5.1</x:v>
      </x:c>
      <x:c r="F307" s="59" t="n">
        <x:v>4.92</x:v>
      </x:c>
      <x:c r="G307" s="59" t="n">
        <x:f>IF(F307="","",F307-E307)</x:f>
        <x:v>-0.17999999999999972</x:v>
      </x:c>
      <x:c r="H307" s="59" t="n">
        <x:f>IF(G307="","",ABS(G307))</x:f>
        <x:v>0.17999999999999972</x:v>
      </x:c>
      <x:c r="I307" s="60" t="n">
        <x:f>IF(G307="","",ABS(G307/E307)*100)</x:f>
        <x:v>3.529411764705877</x:v>
      </x:c>
      <x:c r="J307" s="33" t="str">
        <x:v>Scorpaena</x:v>
      </x:c>
      <x:c r="K307" s="33" t="str">
        <x:v>Scorpaenidae</x:v>
      </x:c>
      <x:c r="L307" s="33" t="str">
        <x:v>Unclassified teleosts</x:v>
      </x:c>
      <x:c r="M307" s="33" t="str">
        <x:v>Teleostei</x:v>
      </x:c>
    </x:row>
    <x:row r="308">
      <x:c r="A308" s="33" t="str">
        <x:v>Ecological proxy</x:v>
      </x:c>
      <x:c r="B308" s="33" t="str">
        <x:v>Family</x:v>
      </x:c>
      <x:c r="C308" s="33" t="str">
        <x:v>Triglidae</x:v>
      </x:c>
      <x:c r="D308" s="33" t="str">
        <x:v>Chelidonichthys cuculus</x:v>
      </x:c>
      <x:c r="E308" s="59" t="n">
        <x:v>8.2</x:v>
      </x:c>
      <x:c r="F308" s="59" t="n">
        <x:v>4.92</x:v>
      </x:c>
      <x:c r="G308" s="59" t="n">
        <x:f>IF(F308="","",F308-E308)</x:f>
        <x:v>-3.2799999999999994</x:v>
      </x:c>
      <x:c r="H308" s="59" t="n">
        <x:f>IF(G308="","",ABS(G308))</x:f>
        <x:v>3.2799999999999994</x:v>
      </x:c>
      <x:c r="I308" s="60" t="n">
        <x:f>IF(G308="","",ABS(G308/E308)*100)</x:f>
        <x:v>40</x:v>
      </x:c>
      <x:c r="J308" s="33" t="str">
        <x:v>Chelidonichthys</x:v>
      </x:c>
      <x:c r="K308" s="33" t="str">
        <x:v>Triglidae</x:v>
      </x:c>
      <x:c r="L308" s="33" t="str">
        <x:v>Unclassified teleosts</x:v>
      </x:c>
      <x:c r="M308" s="33" t="str">
        <x:v>Teleostei</x:v>
      </x:c>
    </x:row>
    <x:row r="309">
      <x:c r="A309" s="33" t="str">
        <x:v>Ecological proxy</x:v>
      </x:c>
      <x:c r="B309" s="33" t="str">
        <x:v>Family</x:v>
      </x:c>
      <x:c r="C309" s="33" t="str">
        <x:v>Moronidae</x:v>
      </x:c>
      <x:c r="D309" s="33" t="str">
        <x:v>Dicentrarchus labrax</x:v>
      </x:c>
      <x:c r="E309" s="59" t="n">
        <x:v>6</x:v>
      </x:c>
      <x:c r="F309" s="59" t="n">
        <x:v>4.92</x:v>
      </x:c>
      <x:c r="G309" s="59" t="n">
        <x:f>IF(F309="","",F309-E309)</x:f>
        <x:v>-1.08</x:v>
      </x:c>
      <x:c r="H309" s="59" t="n">
        <x:f>IF(G309="","",ABS(G309))</x:f>
        <x:v>1.08</x:v>
      </x:c>
      <x:c r="I309" s="60" t="n">
        <x:f>IF(G309="","",ABS(G309/E309)*100)</x:f>
        <x:v>18.000000000000004</x:v>
      </x:c>
      <x:c r="J309" s="33" t="str">
        <x:v>Dicentrarchus</x:v>
      </x:c>
      <x:c r="K309" s="33" t="str">
        <x:v>Moronidae</x:v>
      </x:c>
      <x:c r="L309" s="33" t="str">
        <x:v>Unclassified teleosts</x:v>
      </x:c>
      <x:c r="M309" s="33" t="str">
        <x:v>Teleostei</x:v>
      </x:c>
    </x:row>
    <x:row r="310">
      <x:c r="A310" s="33" t="str">
        <x:v>Ecological proxy</x:v>
      </x:c>
      <x:c r="B310" s="33" t="str">
        <x:v>Family</x:v>
      </x:c>
      <x:c r="C310" s="33" t="str">
        <x:v>Carangidae</x:v>
      </x:c>
      <x:c r="D310" s="33" t="str">
        <x:v>Trachurus trachurus</x:v>
      </x:c>
      <x:c r="E310" s="59" t="n">
        <x:v>6</x:v>
      </x:c>
      <x:c r="F310" s="59" t="n">
        <x:v>4.92</x:v>
      </x:c>
      <x:c r="G310" s="59" t="n">
        <x:f>IF(F310="","",F310-E310)</x:f>
        <x:v>-1.08</x:v>
      </x:c>
      <x:c r="H310" s="59" t="n">
        <x:f>IF(G310="","",ABS(G310))</x:f>
        <x:v>1.08</x:v>
      </x:c>
      <x:c r="I310" s="60" t="n">
        <x:f>IF(G310="","",ABS(G310/E310)*100)</x:f>
        <x:v>18.000000000000004</x:v>
      </x:c>
      <x:c r="J310" s="33" t="str">
        <x:v>Trachurus</x:v>
      </x:c>
      <x:c r="K310" s="33" t="str">
        <x:v>Carangidae</x:v>
      </x:c>
      <x:c r="L310" s="33" t="str">
        <x:v>Unclassified teleosts</x:v>
      </x:c>
      <x:c r="M310" s="33" t="str">
        <x:v>Teleostei</x:v>
      </x:c>
    </x:row>
    <x:row r="311">
      <x:c r="A311" s="33" t="str">
        <x:v>Ecological proxy</x:v>
      </x:c>
      <x:c r="B311" s="33" t="str">
        <x:v>Family</x:v>
      </x:c>
      <x:c r="C311" s="33" t="str">
        <x:v>Sparidae</x:v>
      </x:c>
      <x:c r="D311" s="33" t="str">
        <x:v>Spondyliosoma cantharus</x:v>
      </x:c>
      <x:c r="E311" s="59" t="n">
        <x:v>6.9</x:v>
      </x:c>
      <x:c r="F311" s="59" t="n">
        <x:v>4.92</x:v>
      </x:c>
      <x:c r="G311" s="59" t="n">
        <x:f>IF(F311="","",F311-E311)</x:f>
        <x:v>-1.9800000000000004</x:v>
      </x:c>
      <x:c r="H311" s="59" t="n">
        <x:f>IF(G311="","",ABS(G311))</x:f>
        <x:v>1.9800000000000004</x:v>
      </x:c>
      <x:c r="I311" s="60" t="n">
        <x:f>IF(G311="","",ABS(G311/E311)*100)</x:f>
        <x:v>28.69565217391305</x:v>
      </x:c>
      <x:c r="J311" s="33" t="str">
        <x:v>Spondyliosoma</x:v>
      </x:c>
      <x:c r="K311" s="33" t="str">
        <x:v>Sparidae</x:v>
      </x:c>
      <x:c r="L311" s="33" t="str">
        <x:v>Unclassified teleosts</x:v>
      </x:c>
      <x:c r="M311" s="33" t="str">
        <x:v>Teleostei</x:v>
      </x:c>
    </x:row>
    <x:row r="312">
      <x:c r="A312" s="33" t="str">
        <x:v>Ecological proxy</x:v>
      </x:c>
      <x:c r="B312" s="33" t="str">
        <x:v>Family</x:v>
      </x:c>
      <x:c r="C312" s="33" t="str">
        <x:v>Sparidae</x:v>
      </x:c>
      <x:c r="D312" s="33" t="str">
        <x:v>Boops boops</x:v>
      </x:c>
      <x:c r="E312" s="59" t="n">
        <x:v>8</x:v>
      </x:c>
      <x:c r="F312" s="59" t="n">
        <x:v>4.92</x:v>
      </x:c>
      <x:c r="G312" s="59" t="n">
        <x:f>IF(F312="","",F312-E312)</x:f>
        <x:v>-3.08</x:v>
      </x:c>
      <x:c r="H312" s="59" t="n">
        <x:f>IF(G312="","",ABS(G312))</x:f>
        <x:v>3.08</x:v>
      </x:c>
      <x:c r="I312" s="60" t="n">
        <x:f>IF(G312="","",ABS(G312/E312)*100)</x:f>
        <x:v>38.5</x:v>
      </x:c>
      <x:c r="J312" s="33" t="str">
        <x:v>Boops</x:v>
      </x:c>
      <x:c r="K312" s="33" t="str">
        <x:v>Sparidae</x:v>
      </x:c>
      <x:c r="L312" s="33" t="str">
        <x:v>Unclassified teleosts</x:v>
      </x:c>
      <x:c r="M312" s="33" t="str">
        <x:v>Teleostei</x:v>
      </x:c>
    </x:row>
    <x:row r="313">
      <x:c r="A313" s="33" t="str">
        <x:v>Ecological proxy</x:v>
      </x:c>
      <x:c r="B313" s="33" t="str">
        <x:v>Family</x:v>
      </x:c>
      <x:c r="C313" s="33" t="str">
        <x:v>Sparidae</x:v>
      </x:c>
      <x:c r="D313" s="33" t="str">
        <x:v>Pagellus acarne</x:v>
      </x:c>
      <x:c r="E313" s="59" t="n">
        <x:v>9.4</x:v>
      </x:c>
      <x:c r="F313" s="59" t="n">
        <x:v>4.92</x:v>
      </x:c>
      <x:c r="G313" s="59" t="n">
        <x:f>IF(F313="","",F313-E313)</x:f>
        <x:v>-4.48</x:v>
      </x:c>
      <x:c r="H313" s="59" t="n">
        <x:f>IF(G313="","",ABS(G313))</x:f>
        <x:v>4.48</x:v>
      </x:c>
      <x:c r="I313" s="60" t="n">
        <x:f>IF(G313="","",ABS(G313/E313)*100)</x:f>
        <x:v>47.65957446808511</x:v>
      </x:c>
      <x:c r="J313" s="33" t="str">
        <x:v>Pagellus</x:v>
      </x:c>
      <x:c r="K313" s="33" t="str">
        <x:v>Sparidae</x:v>
      </x:c>
      <x:c r="L313" s="33" t="str">
        <x:v>Unclassified teleosts</x:v>
      </x:c>
      <x:c r="M313" s="33" t="str">
        <x:v>Teleostei</x:v>
      </x:c>
    </x:row>
    <x:row r="314">
      <x:c r="A314" s="33" t="str">
        <x:v>Ecological proxy</x:v>
      </x:c>
      <x:c r="B314" s="33" t="str">
        <x:v>Family</x:v>
      </x:c>
      <x:c r="C314" s="33" t="str">
        <x:v>Mullidae</x:v>
      </x:c>
      <x:c r="D314" s="33" t="str">
        <x:v>Mullus surmuletus</x:v>
      </x:c>
      <x:c r="E314" s="59" t="n">
        <x:v>6.4</x:v>
      </x:c>
      <x:c r="F314" s="59" t="n">
        <x:v>4.92</x:v>
      </x:c>
      <x:c r="G314" s="59" t="n">
        <x:f>IF(F314="","",F314-E314)</x:f>
        <x:v>-1.4800000000000004</x:v>
      </x:c>
      <x:c r="H314" s="59" t="n">
        <x:f>IF(G314="","",ABS(G314))</x:f>
        <x:v>1.4800000000000004</x:v>
      </x:c>
      <x:c r="I314" s="60" t="n">
        <x:f>IF(G314="","",ABS(G314/E314)*100)</x:f>
        <x:v>23.125000000000007</x:v>
      </x:c>
      <x:c r="J314" s="33" t="str">
        <x:v>Mullus</x:v>
      </x:c>
      <x:c r="K314" s="33" t="str">
        <x:v>Mullidae</x:v>
      </x:c>
      <x:c r="L314" s="33" t="str">
        <x:v>Unclassified teleosts</x:v>
      </x:c>
      <x:c r="M314" s="33" t="str">
        <x:v>Teleostei</x:v>
      </x:c>
    </x:row>
    <x:row r="315">
      <x:c r="A315" s="33" t="str">
        <x:v>Ecological proxy</x:v>
      </x:c>
      <x:c r="B315" s="33" t="str">
        <x:v>Family</x:v>
      </x:c>
      <x:c r="C315" s="33" t="str">
        <x:v>Cepolidae</x:v>
      </x:c>
      <x:c r="D315" s="33" t="str">
        <x:v>Cepola macrophthalma</x:v>
      </x:c>
      <x:c r="E315" s="59" t="n">
        <x:v>3.9</x:v>
      </x:c>
      <x:c r="F315" s="59" t="n">
        <x:v>4.92</x:v>
      </x:c>
      <x:c r="G315" s="59" t="n">
        <x:f>IF(F315="","",F315-E315)</x:f>
        <x:v>1.02</x:v>
      </x:c>
      <x:c r="H315" s="59" t="n">
        <x:f>IF(G315="","",ABS(G315))</x:f>
        <x:v>1.02</x:v>
      </x:c>
      <x:c r="I315" s="60" t="n">
        <x:f>IF(G315="","",ABS(G315/E315)*100)</x:f>
        <x:v>26.153846153846157</x:v>
      </x:c>
      <x:c r="J315" s="33" t="str">
        <x:v>Cepola</x:v>
      </x:c>
      <x:c r="K315" s="33" t="str">
        <x:v>Cepolidae</x:v>
      </x:c>
      <x:c r="L315" s="33" t="str">
        <x:v>Unclassified teleosts</x:v>
      </x:c>
      <x:c r="M315" s="33" t="str">
        <x:v>Teleostei</x:v>
      </x:c>
    </x:row>
    <x:row r="316">
      <x:c r="A316" s="33" t="str">
        <x:v>Ecological proxy</x:v>
      </x:c>
      <x:c r="B316" s="33" t="str">
        <x:v>Family</x:v>
      </x:c>
      <x:c r="C316" s="33" t="str">
        <x:v>Mugilidae</x:v>
      </x:c>
      <x:c r="D316" s="33" t="str">
        <x:v>Liza ramada</x:v>
      </x:c>
      <x:c r="E316" s="59" t="n">
        <x:v>6.5</x:v>
      </x:c>
      <x:c r="F316" s="59" t="n">
        <x:v>4.92</x:v>
      </x:c>
      <x:c r="G316" s="59" t="n">
        <x:f>IF(F316="","",F316-E316)</x:f>
        <x:v>-1.58</x:v>
      </x:c>
      <x:c r="H316" s="59" t="n">
        <x:f>IF(G316="","",ABS(G316))</x:f>
        <x:v>1.58</x:v>
      </x:c>
      <x:c r="I316" s="60" t="n">
        <x:f>IF(G316="","",ABS(G316/E316)*100)</x:f>
        <x:v>24.307692307692307</x:v>
      </x:c>
      <x:c r="J316" s="33" t="str">
        <x:v>Liza</x:v>
      </x:c>
      <x:c r="K316" s="33" t="str">
        <x:v>Mugilidae</x:v>
      </x:c>
      <x:c r="L316" s="33" t="str">
        <x:v>Unclassified teleosts</x:v>
      </x:c>
      <x:c r="M316" s="33" t="str">
        <x:v>Teleostei</x:v>
      </x:c>
    </x:row>
    <x:row r="317">
      <x:c r="A317" s="33" t="str">
        <x:v>Ecological proxy</x:v>
      </x:c>
      <x:c r="B317" s="33" t="str">
        <x:v>Family</x:v>
      </x:c>
      <x:c r="C317" s="33" t="str">
        <x:v>Labridae</x:v>
      </x:c>
      <x:c r="D317" s="33" t="str">
        <x:v>Labrus bergylta</x:v>
      </x:c>
      <x:c r="E317" s="59" t="n">
        <x:v>5.4</x:v>
      </x:c>
      <x:c r="F317" s="59" t="n">
        <x:v>4.92</x:v>
      </x:c>
      <x:c r="G317" s="59" t="n">
        <x:f>IF(F317="","",F317-E317)</x:f>
        <x:v>-0.4800000000000004</x:v>
      </x:c>
      <x:c r="H317" s="59" t="n">
        <x:f>IF(G317="","",ABS(G317))</x:f>
        <x:v>0.4800000000000004</x:v>
      </x:c>
      <x:c r="I317" s="60" t="n">
        <x:f>IF(G317="","",ABS(G317/E317)*100)</x:f>
        <x:v>8.888888888888896</x:v>
      </x:c>
      <x:c r="J317" s="33" t="str">
        <x:v>Labrus</x:v>
      </x:c>
      <x:c r="K317" s="33" t="str">
        <x:v>Labridae</x:v>
      </x:c>
      <x:c r="L317" s="33" t="str">
        <x:v>Unclassified teleosts</x:v>
      </x:c>
      <x:c r="M317" s="33" t="str">
        <x:v>Teleostei</x:v>
      </x:c>
    </x:row>
    <x:row r="318">
      <x:c r="A318" s="33" t="str">
        <x:v>Ecological proxy</x:v>
      </x:c>
      <x:c r="B318" s="33" t="str">
        <x:v>Family</x:v>
      </x:c>
      <x:c r="C318" s="33" t="str">
        <x:v>Ammodytidae</x:v>
      </x:c>
      <x:c r="D318" s="33" t="str">
        <x:v>Hyperoplus lanceolatus</x:v>
      </x:c>
      <x:c r="E318" s="59" t="n">
        <x:v>4.8</x:v>
      </x:c>
      <x:c r="F318" s="59" t="n">
        <x:v>6.9025</x:v>
      </x:c>
      <x:c r="G318" s="59" t="n">
        <x:f>IF(F318="","",F318-E318)</x:f>
        <x:v>2.1025</x:v>
      </x:c>
      <x:c r="H318" s="59" t="n">
        <x:f>IF(G318="","",ABS(G318))</x:f>
        <x:v>2.1025</x:v>
      </x:c>
      <x:c r="I318" s="60" t="n">
        <x:f>IF(G318="","",ABS(G318/E318)*100)</x:f>
        <x:v>43.802083333333336</x:v>
      </x:c>
      <x:c r="J318" s="33" t="str">
        <x:v>Hyperoplus</x:v>
      </x:c>
      <x:c r="K318" s="33" t="str">
        <x:v>Ammodytidae</x:v>
      </x:c>
      <x:c r="L318" s="33" t="str">
        <x:v>Small pelagic forage fishes</x:v>
      </x:c>
      <x:c r="M318" s="33" t="str">
        <x:v>Teleostei</x:v>
      </x:c>
    </x:row>
    <x:row r="319">
      <x:c r="A319" s="33" t="str">
        <x:v>Ecological proxy</x:v>
      </x:c>
      <x:c r="B319" s="33" t="str">
        <x:v>Family</x:v>
      </x:c>
      <x:c r="C319" s="33" t="str">
        <x:v>Ammodytidae</x:v>
      </x:c>
      <x:c r="D319" s="33" t="str">
        <x:v>Ammodytes tobianus</x:v>
      </x:c>
      <x:c r="E319" s="59" t="n">
        <x:v>5.8</x:v>
      </x:c>
      <x:c r="F319" s="59" t="n">
        <x:v>6.9025</x:v>
      </x:c>
      <x:c r="G319" s="59" t="n">
        <x:f>IF(F319="","",F319-E319)</x:f>
        <x:v>1.1025</x:v>
      </x:c>
      <x:c r="H319" s="59" t="n">
        <x:f>IF(G319="","",ABS(G319))</x:f>
        <x:v>1.1025</x:v>
      </x:c>
      <x:c r="I319" s="60" t="n">
        <x:f>IF(G319="","",ABS(G319/E319)*100)</x:f>
        <x:v>19.008620689655174</x:v>
      </x:c>
      <x:c r="J319" s="33" t="str">
        <x:v>Ammodytes</x:v>
      </x:c>
      <x:c r="K319" s="33" t="str">
        <x:v>Ammodytidae</x:v>
      </x:c>
      <x:c r="L319" s="33" t="str">
        <x:v>Small pelagic forage fishes</x:v>
      </x:c>
      <x:c r="M319" s="33" t="str">
        <x:v>Teleostei</x:v>
      </x:c>
    </x:row>
    <x:row r="320">
      <x:c r="A320" s="33" t="str">
        <x:v>Ecological proxy</x:v>
      </x:c>
      <x:c r="B320" s="33" t="str">
        <x:v>Family</x:v>
      </x:c>
      <x:c r="C320" s="33" t="str">
        <x:v>Trachinidae</x:v>
      </x:c>
      <x:c r="D320" s="33" t="str">
        <x:v>Trachinus draco</x:v>
      </x:c>
      <x:c r="E320" s="59" t="n">
        <x:v>5.3</x:v>
      </x:c>
      <x:c r="F320" s="59" t="n">
        <x:v>4.92</x:v>
      </x:c>
      <x:c r="G320" s="59" t="n">
        <x:f>IF(F320="","",F320-E320)</x:f>
        <x:v>-0.3799999999999999</x:v>
      </x:c>
      <x:c r="H320" s="59" t="n">
        <x:f>IF(G320="","",ABS(G320))</x:f>
        <x:v>0.3799999999999999</x:v>
      </x:c>
      <x:c r="I320" s="60" t="n">
        <x:f>IF(G320="","",ABS(G320/E320)*100)</x:f>
        <x:v>7.169811320754715</x:v>
      </x:c>
      <x:c r="J320" s="33" t="str">
        <x:v>Trachinus</x:v>
      </x:c>
      <x:c r="K320" s="33" t="str">
        <x:v>Trachinidae</x:v>
      </x:c>
      <x:c r="L320" s="33" t="str">
        <x:v>Unclassified teleosts</x:v>
      </x:c>
      <x:c r="M320" s="33" t="str">
        <x:v>Teleostei</x:v>
      </x:c>
    </x:row>
    <x:row r="321">
      <x:c r="A321" s="33" t="str">
        <x:v>Ecological proxy</x:v>
      </x:c>
      <x:c r="B321" s="33" t="str">
        <x:v>Family</x:v>
      </x:c>
      <x:c r="C321" s="33" t="str">
        <x:v>Blenniidae</x:v>
      </x:c>
      <x:c r="D321" s="33" t="str">
        <x:v>Paralipophrys trigloides</x:v>
      </x:c>
      <x:c r="E321" s="59" t="n">
        <x:v>5.5</x:v>
      </x:c>
      <x:c r="F321" s="59" t="n">
        <x:v>4.92</x:v>
      </x:c>
      <x:c r="G321" s="59" t="n">
        <x:f>IF(F321="","",F321-E321)</x:f>
        <x:v>-0.5800000000000001</x:v>
      </x:c>
      <x:c r="H321" s="59" t="n">
        <x:f>IF(G321="","",ABS(G321))</x:f>
        <x:v>0.5800000000000001</x:v>
      </x:c>
      <x:c r="I321" s="60" t="n">
        <x:f>IF(G321="","",ABS(G321/E321)*100)</x:f>
        <x:v>10.545454545454547</x:v>
      </x:c>
      <x:c r="J321" s="33" t="str">
        <x:v>Paralipophrys</x:v>
      </x:c>
      <x:c r="K321" s="33" t="str">
        <x:v>Blenniidae</x:v>
      </x:c>
      <x:c r="L321" s="33" t="str">
        <x:v>Unclassified teleosts</x:v>
      </x:c>
      <x:c r="M321" s="33" t="str">
        <x:v>Teleostei</x:v>
      </x:c>
    </x:row>
    <x:row r="322">
      <x:c r="A322" s="33" t="str">
        <x:v>Ecological proxy</x:v>
      </x:c>
      <x:c r="B322" s="33" t="str">
        <x:v>Family</x:v>
      </x:c>
      <x:c r="C322" s="33" t="str">
        <x:v>Callionymidae</x:v>
      </x:c>
      <x:c r="D322" s="33" t="str">
        <x:v>Callionymus lyra</x:v>
      </x:c>
      <x:c r="E322" s="59" t="n">
        <x:v>5.2</x:v>
      </x:c>
      <x:c r="F322" s="59" t="n">
        <x:v>4.92</x:v>
      </x:c>
      <x:c r="G322" s="59" t="n">
        <x:f>IF(F322="","",F322-E322)</x:f>
        <x:v>-0.28000000000000025</x:v>
      </x:c>
      <x:c r="H322" s="59" t="n">
        <x:f>IF(G322="","",ABS(G322))</x:f>
        <x:v>0.28000000000000025</x:v>
      </x:c>
      <x:c r="I322" s="60" t="n">
        <x:f>IF(G322="","",ABS(G322/E322)*100)</x:f>
        <x:v>5.3846153846153895</x:v>
      </x:c>
      <x:c r="J322" s="33" t="str">
        <x:v>Callionymus</x:v>
      </x:c>
      <x:c r="K322" s="33" t="str">
        <x:v>Callionymidae</x:v>
      </x:c>
      <x:c r="L322" s="33" t="str">
        <x:v>Unclassified teleosts</x:v>
      </x:c>
      <x:c r="M322" s="33" t="str">
        <x:v>Teleostei</x:v>
      </x:c>
    </x:row>
    <x:row r="323">
      <x:c r="A323" s="33" t="str">
        <x:v>Ecological proxy</x:v>
      </x:c>
      <x:c r="B323" s="33" t="str">
        <x:v>Family</x:v>
      </x:c>
      <x:c r="C323" s="33" t="str">
        <x:v>Gobiidae</x:v>
      </x:c>
      <x:c r="D323" s="33" t="str">
        <x:v>Lesueurigobius friesii</x:v>
      </x:c>
      <x:c r="E323" s="59" t="n">
        <x:v>5.6</x:v>
      </x:c>
      <x:c r="F323" s="59" t="n">
        <x:v>4.92</x:v>
      </x:c>
      <x:c r="G323" s="59" t="n">
        <x:f>IF(F323="","",F323-E323)</x:f>
        <x:v>-0.6799999999999997</x:v>
      </x:c>
      <x:c r="H323" s="59" t="n">
        <x:f>IF(G323="","",ABS(G323))</x:f>
        <x:v>0.6799999999999997</x:v>
      </x:c>
      <x:c r="I323" s="60" t="n">
        <x:f>IF(G323="","",ABS(G323/E323)*100)</x:f>
        <x:v>12.142857142857139</x:v>
      </x:c>
      <x:c r="J323" s="33" t="str">
        <x:v>Lesueurigobius</x:v>
      </x:c>
      <x:c r="K323" s="33" t="str">
        <x:v>Gobiidae</x:v>
      </x:c>
      <x:c r="L323" s="33" t="str">
        <x:v>Unclassified teleosts</x:v>
      </x:c>
      <x:c r="M323" s="33" t="str">
        <x:v>Teleostei</x:v>
      </x:c>
    </x:row>
    <x:row r="324">
      <x:c r="A324" s="33" t="str">
        <x:v>Ecological proxy</x:v>
      </x:c>
      <x:c r="B324" s="33" t="str">
        <x:v>Family</x:v>
      </x:c>
      <x:c r="C324" s="33" t="str">
        <x:v>Scombridae</x:v>
      </x:c>
      <x:c r="D324" s="33" t="str">
        <x:v>Scomber scombrus</x:v>
      </x:c>
      <x:c r="E324" s="59" t="n">
        <x:v>6.815</x:v>
      </x:c>
      <x:c r="F324" s="59" t="n">
        <x:v>6.745</x:v>
      </x:c>
      <x:c r="G324" s="59" t="n">
        <x:f>IF(F324="","",F324-E324)</x:f>
        <x:v>-0.07000000000000028</x:v>
      </x:c>
      <x:c r="H324" s="59" t="n">
        <x:f>IF(G324="","",ABS(G324))</x:f>
        <x:v>0.07000000000000028</x:v>
      </x:c>
      <x:c r="I324" s="60" t="n">
        <x:f>IF(G324="","",ABS(G324/E324)*100)</x:f>
        <x:v>1.0271460014673555</x:v>
      </x:c>
      <x:c r="J324" s="33" t="str">
        <x:v>Scomber</x:v>
      </x:c>
      <x:c r="K324" s="33" t="str">
        <x:v>Scombridae</x:v>
      </x:c>
      <x:c r="L324" s="33" t="str">
        <x:v>Small pelagic forage fishes</x:v>
      </x:c>
      <x:c r="M324" s="33" t="str">
        <x:v>Teleostei</x:v>
      </x:c>
    </x:row>
    <x:row r="325">
      <x:c r="A325" s="33" t="str">
        <x:v>Ecological proxy</x:v>
      </x:c>
      <x:c r="B325" s="33" t="str">
        <x:v>Family</x:v>
      </x:c>
      <x:c r="C325" s="33" t="str">
        <x:v>Scophthalmidae</x:v>
      </x:c>
      <x:c r="D325" s="33" t="str">
        <x:v>Lepidorhombus whiffiagonis</x:v>
      </x:c>
      <x:c r="E325" s="59" t="n">
        <x:v>6.1</x:v>
      </x:c>
      <x:c r="F325" s="59" t="n">
        <x:v>4.98</x:v>
      </x:c>
      <x:c r="G325" s="59" t="n">
        <x:f>IF(F325="","",F325-E325)</x:f>
        <x:v>-1.1199999999999992</x:v>
      </x:c>
      <x:c r="H325" s="59" t="n">
        <x:f>IF(G325="","",ABS(G325))</x:f>
        <x:v>1.1199999999999992</x:v>
      </x:c>
      <x:c r="I325" s="60" t="n">
        <x:f>IF(G325="","",ABS(G325/E325)*100)</x:f>
        <x:v>18.360655737704906</x:v>
      </x:c>
      <x:c r="J325" s="33" t="str">
        <x:v>Lepidorhombus</x:v>
      </x:c>
      <x:c r="K325" s="33" t="str">
        <x:v>Scophthalmidae</x:v>
      </x:c>
      <x:c r="L325" s="33" t="str">
        <x:v>Demersal flatfishes</x:v>
      </x:c>
      <x:c r="M325" s="33" t="str">
        <x:v>Teleostei</x:v>
      </x:c>
    </x:row>
    <x:row r="326">
      <x:c r="A326" s="33" t="str">
        <x:v>Ecological proxy</x:v>
      </x:c>
      <x:c r="B326" s="33" t="str">
        <x:v>Family</x:v>
      </x:c>
      <x:c r="C326" s="33" t="str">
        <x:v>Bothidae</x:v>
      </x:c>
      <x:c r="D326" s="33" t="str">
        <x:v>Arnoglossus imperialis</x:v>
      </x:c>
      <x:c r="E326" s="59" t="n">
        <x:v>5.4</x:v>
      </x:c>
      <x:c r="F326" s="59" t="n">
        <x:v>4.98</x:v>
      </x:c>
      <x:c r="G326" s="59" t="n">
        <x:f>IF(F326="","",F326-E326)</x:f>
        <x:v>-0.41999999999999993</x:v>
      </x:c>
      <x:c r="H326" s="59" t="n">
        <x:f>IF(G326="","",ABS(G326))</x:f>
        <x:v>0.41999999999999993</x:v>
      </x:c>
      <x:c r="I326" s="60" t="n">
        <x:f>IF(G326="","",ABS(G326/E326)*100)</x:f>
        <x:v>7.777777777777777</x:v>
      </x:c>
      <x:c r="J326" s="33" t="str">
        <x:v>Arnoglossus</x:v>
      </x:c>
      <x:c r="K326" s="33" t="str">
        <x:v>Bothidae</x:v>
      </x:c>
      <x:c r="L326" s="33" t="str">
        <x:v>Demersal flatfishes</x:v>
      </x:c>
      <x:c r="M326" s="33" t="str">
        <x:v>Teleostei</x:v>
      </x:c>
    </x:row>
    <x:row r="327">
      <x:c r="A327" s="33" t="str">
        <x:v>Ecological proxy</x:v>
      </x:c>
      <x:c r="B327" s="33" t="str">
        <x:v>Family</x:v>
      </x:c>
      <x:c r="C327" s="33" t="str">
        <x:v>Pleuronectidae</x:v>
      </x:c>
      <x:c r="D327" s="33" t="str">
        <x:v>Glyptocephalus cynoglossus</x:v>
      </x:c>
      <x:c r="E327" s="59" t="n">
        <x:v>5.6</x:v>
      </x:c>
      <x:c r="F327" s="59" t="n">
        <x:v>4.98</x:v>
      </x:c>
      <x:c r="G327" s="59" t="n">
        <x:f>IF(F327="","",F327-E327)</x:f>
        <x:v>-0.6199999999999992</x:v>
      </x:c>
      <x:c r="H327" s="59" t="n">
        <x:f>IF(G327="","",ABS(G327))</x:f>
        <x:v>0.6199999999999992</x:v>
      </x:c>
      <x:c r="I327" s="60" t="n">
        <x:f>IF(G327="","",ABS(G327/E327)*100)</x:f>
        <x:v>11.071428571428559</x:v>
      </x:c>
      <x:c r="J327" s="33" t="str">
        <x:v>Glyptocephalus</x:v>
      </x:c>
      <x:c r="K327" s="33" t="str">
        <x:v>Pleuronectidae</x:v>
      </x:c>
      <x:c r="L327" s="33" t="str">
        <x:v>Demersal flatfishes</x:v>
      </x:c>
      <x:c r="M327" s="33" t="str">
        <x:v>Teleostei</x:v>
      </x:c>
    </x:row>
    <x:row r="328">
      <x:c r="A328" s="33" t="str">
        <x:v>Ecological proxy</x:v>
      </x:c>
      <x:c r="B328" s="33" t="str">
        <x:v>Family</x:v>
      </x:c>
      <x:c r="C328" s="33" t="str">
        <x:v>Pleuronectidae</x:v>
      </x:c>
      <x:c r="D328" s="33" t="str">
        <x:v>Microstomus kitt</x:v>
      </x:c>
      <x:c r="E328" s="59" t="n">
        <x:v>5.8</x:v>
      </x:c>
      <x:c r="F328" s="59" t="n">
        <x:v>4.98</x:v>
      </x:c>
      <x:c r="G328" s="59" t="n">
        <x:f>IF(F328="","",F328-E328)</x:f>
        <x:v>-0.8199999999999994</x:v>
      </x:c>
      <x:c r="H328" s="59" t="n">
        <x:f>IF(G328="","",ABS(G328))</x:f>
        <x:v>0.8199999999999994</x:v>
      </x:c>
      <x:c r="I328" s="60" t="n">
        <x:f>IF(G328="","",ABS(G328/E328)*100)</x:f>
        <x:v>14.137931034482747</x:v>
      </x:c>
      <x:c r="J328" s="33" t="str">
        <x:v>Microstomus</x:v>
      </x:c>
      <x:c r="K328" s="33" t="str">
        <x:v>Pleuronectidae</x:v>
      </x:c>
      <x:c r="L328" s="33" t="str">
        <x:v>Demersal flatfishes</x:v>
      </x:c>
      <x:c r="M328" s="33" t="str">
        <x:v>Teleostei</x:v>
      </x:c>
    </x:row>
    <x:row r="329">
      <x:c r="A329" s="33" t="str">
        <x:v>Ecological proxy</x:v>
      </x:c>
      <x:c r="B329" s="33" t="str">
        <x:v>Family</x:v>
      </x:c>
      <x:c r="C329" s="33" t="str">
        <x:v>Pleuronectidae</x:v>
      </x:c>
      <x:c r="D329" s="33" t="str">
        <x:v>Pleuronectes platessa</x:v>
      </x:c>
      <x:c r="E329" s="59" t="n">
        <x:v>5.8</x:v>
      </x:c>
      <x:c r="F329" s="59" t="n">
        <x:v>4.98</x:v>
      </x:c>
      <x:c r="G329" s="59" t="n">
        <x:f>IF(F329="","",F329-E329)</x:f>
        <x:v>-0.8199999999999994</x:v>
      </x:c>
      <x:c r="H329" s="59" t="n">
        <x:f>IF(G329="","",ABS(G329))</x:f>
        <x:v>0.8199999999999994</x:v>
      </x:c>
      <x:c r="I329" s="60" t="n">
        <x:f>IF(G329="","",ABS(G329/E329)*100)</x:f>
        <x:v>14.137931034482747</x:v>
      </x:c>
      <x:c r="J329" s="33" t="str">
        <x:v>Pleuronectes</x:v>
      </x:c>
      <x:c r="K329" s="33" t="str">
        <x:v>Pleuronectidae</x:v>
      </x:c>
      <x:c r="L329" s="33" t="str">
        <x:v>Demersal flatfishes</x:v>
      </x:c>
      <x:c r="M329" s="33" t="str">
        <x:v>Teleostei</x:v>
      </x:c>
    </x:row>
    <x:row r="330">
      <x:c r="A330" s="33" t="str">
        <x:v>Ecological proxy</x:v>
      </x:c>
      <x:c r="B330" s="33" t="str">
        <x:v>Family</x:v>
      </x:c>
      <x:c r="C330" s="33" t="str">
        <x:v>Soleidae</x:v>
      </x:c>
      <x:c r="D330" s="33" t="str">
        <x:v>Solea solea</x:v>
      </x:c>
      <x:c r="E330" s="59" t="n">
        <x:v>5</x:v>
      </x:c>
      <x:c r="F330" s="59" t="n">
        <x:v>4.98</x:v>
      </x:c>
      <x:c r="G330" s="59" t="n">
        <x:f>IF(F330="","",F330-E330)</x:f>
        <x:v>-0.019999999999999574</x:v>
      </x:c>
      <x:c r="H330" s="59" t="n">
        <x:f>IF(G330="","",ABS(G330))</x:f>
        <x:v>0.019999999999999574</x:v>
      </x:c>
      <x:c r="I330" s="60" t="n">
        <x:f>IF(G330="","",ABS(G330/E330)*100)</x:f>
        <x:v>0.39999999999999153</x:v>
      </x:c>
      <x:c r="J330" s="33" t="str">
        <x:v>Solea</x:v>
      </x:c>
      <x:c r="K330" s="33" t="str">
        <x:v>Soleidae</x:v>
      </x:c>
      <x:c r="L330" s="33" t="str">
        <x:v>Demersal flatfishes</x:v>
      </x:c>
      <x:c r="M330" s="33" t="str">
        <x:v>Teleostei</x:v>
      </x:c>
    </x:row>
    <x:row r="331">
      <x:c r="A331" s="33" t="str">
        <x:v>Ecological proxy</x:v>
      </x:c>
      <x:c r="B331" s="33" t="str">
        <x:v>Family</x:v>
      </x:c>
      <x:c r="C331" s="33" t="str">
        <x:v>Soleidae</x:v>
      </x:c>
      <x:c r="D331" s="33" t="str">
        <x:v>Dicologlossa cuneata</x:v>
      </x:c>
      <x:c r="E331" s="59" t="n">
        <x:v>6.5</x:v>
      </x:c>
      <x:c r="F331" s="59" t="n">
        <x:v>4.98</x:v>
      </x:c>
      <x:c r="G331" s="59" t="n">
        <x:f>IF(F331="","",F331-E331)</x:f>
        <x:v>-1.5199999999999996</x:v>
      </x:c>
      <x:c r="H331" s="59" t="n">
        <x:f>IF(G331="","",ABS(G331))</x:f>
        <x:v>1.5199999999999996</x:v>
      </x:c>
      <x:c r="I331" s="60" t="n">
        <x:f>IF(G331="","",ABS(G331/E331)*100)</x:f>
        <x:v>23.38461538461538</x:v>
      </x:c>
      <x:c r="J331" s="33" t="str">
        <x:v>Dicologlossa</x:v>
      </x:c>
      <x:c r="K331" s="33" t="str">
        <x:v>Soleidae</x:v>
      </x:c>
      <x:c r="L331" s="33" t="str">
        <x:v>Demersal flatfishes</x:v>
      </x:c>
      <x:c r="M331" s="33" t="str">
        <x:v>Teleostei</x:v>
      </x:c>
    </x:row>
    <x:row r="332">
      <x:c r="A332" s="33" t="str">
        <x:v>Ecological proxy</x:v>
      </x:c>
      <x:c r="B332" s="33" t="str">
        <x:v>Family</x:v>
      </x:c>
      <x:c r="C332" s="33" t="str">
        <x:v>Nephtyidae</x:v>
      </x:c>
      <x:c r="D332" s="33" t="str">
        <x:v>Aglaophamus australiensis</x:v>
      </x:c>
      <x:c r="E332" s="59" t="n">
        <x:v>1.06</x:v>
      </x:c>
      <x:c r="F332" s="59" t="n">
        <x:v>2.045</x:v>
      </x:c>
      <x:c r="G332" s="59" t="n">
        <x:f>IF(F332="","",F332-E332)</x:f>
        <x:v>0.9849999999999999</x:v>
      </x:c>
      <x:c r="H332" s="59" t="n">
        <x:f>IF(G332="","",ABS(G332))</x:f>
        <x:v>0.9849999999999999</x:v>
      </x:c>
      <x:c r="I332" s="60" t="n">
        <x:f>IF(G332="","",ABS(G332/E332)*100)</x:f>
        <x:v>92.92452830188678</x:v>
      </x:c>
      <x:c r="J332" s="33" t="str">
        <x:v>Aglaophamus</x:v>
      </x:c>
      <x:c r="K332" s="33" t="str">
        <x:v>Nephtyidae</x:v>
      </x:c>
      <x:c r="L332" s="33" t="str">
        <x:v>Other benthic polychaetes</x:v>
      </x:c>
      <x:c r="M332" s="33" t="str">
        <x:v>Annelida</x:v>
      </x:c>
    </x:row>
    <x:row r="333">
      <x:c r="A333" s="33" t="str">
        <x:v>Ecological proxy</x:v>
      </x:c>
      <x:c r="B333" s="33" t="str">
        <x:v>Family</x:v>
      </x:c>
      <x:c r="C333" s="33" t="str">
        <x:v>Nereididae</x:v>
      </x:c>
      <x:c r="D333" s="33" t="str">
        <x:v>Australonereis ehlersi</x:v>
      </x:c>
      <x:c r="E333" s="59" t="n">
        <x:v>1.28</x:v>
      </x:c>
      <x:c r="F333" s="59" t="n">
        <x:v>2.045</x:v>
      </x:c>
      <x:c r="G333" s="59" t="n">
        <x:f>IF(F333="","",F333-E333)</x:f>
        <x:v>0.7649999999999999</x:v>
      </x:c>
      <x:c r="H333" s="59" t="n">
        <x:f>IF(G333="","",ABS(G333))</x:f>
        <x:v>0.7649999999999999</x:v>
      </x:c>
      <x:c r="I333" s="60" t="n">
        <x:f>IF(G333="","",ABS(G333/E333)*100)</x:f>
        <x:v>59.765624999999986</x:v>
      </x:c>
      <x:c r="J333" s="33" t="str">
        <x:v>Australonereis</x:v>
      </x:c>
      <x:c r="K333" s="33" t="str">
        <x:v>Nereididae</x:v>
      </x:c>
      <x:c r="L333" s="33" t="str">
        <x:v>Other benthic polychaetes</x:v>
      </x:c>
      <x:c r="M333" s="33" t="str">
        <x:v>Annelida</x:v>
      </x:c>
    </x:row>
    <x:row r="334">
      <x:c r="A334" s="33" t="str">
        <x:v>Ecological proxy</x:v>
      </x:c>
      <x:c r="B334" s="33" t="str">
        <x:v>Family</x:v>
      </x:c>
      <x:c r="C334" s="33" t="str">
        <x:v>Phyllodocidae</x:v>
      </x:c>
      <x:c r="D334" s="33" t="str">
        <x:v>Phyllodoce novaehollandiae</x:v>
      </x:c>
      <x:c r="E334" s="59" t="n">
        <x:v>0.96</x:v>
      </x:c>
      <x:c r="F334" s="59" t="n">
        <x:v>2.045</x:v>
      </x:c>
      <x:c r="G334" s="59" t="n">
        <x:f>IF(F334="","",F334-E334)</x:f>
        <x:v>1.085</x:v>
      </x:c>
      <x:c r="H334" s="59" t="n">
        <x:f>IF(G334="","",ABS(G334))</x:f>
        <x:v>1.085</x:v>
      </x:c>
      <x:c r="I334" s="60" t="n">
        <x:f>IF(G334="","",ABS(G334/E334)*100)</x:f>
        <x:v>113.02083333333333</x:v>
      </x:c>
      <x:c r="J334" s="33" t="str">
        <x:v>Phyllodoce</x:v>
      </x:c>
      <x:c r="K334" s="33" t="str">
        <x:v>Phyllodocidae</x:v>
      </x:c>
      <x:c r="L334" s="33" t="str">
        <x:v>Other benthic polychaetes</x:v>
      </x:c>
      <x:c r="M334" s="33" t="str">
        <x:v>Annelida</x:v>
      </x:c>
    </x:row>
    <x:row r="335">
      <x:c r="A335" s="33" t="str">
        <x:v>Ecological proxy</x:v>
      </x:c>
      <x:c r="B335" s="33" t="str">
        <x:v>Family</x:v>
      </x:c>
      <x:c r="C335" s="33" t="str">
        <x:v>Nereididae</x:v>
      </x:c>
      <x:c r="D335" s="33" t="str">
        <x:v>Simplisetia aequisetis</x:v>
      </x:c>
      <x:c r="E335" s="59" t="n">
        <x:v>1.05</x:v>
      </x:c>
      <x:c r="F335" s="59" t="n">
        <x:v>2.045</x:v>
      </x:c>
      <x:c r="G335" s="59" t="n">
        <x:f>IF(F335="","",F335-E335)</x:f>
        <x:v>0.9949999999999999</x:v>
      </x:c>
      <x:c r="H335" s="59" t="n">
        <x:f>IF(G335="","",ABS(G335))</x:f>
        <x:v>0.9949999999999999</x:v>
      </x:c>
      <x:c r="I335" s="60" t="n">
        <x:f>IF(G335="","",ABS(G335/E335)*100)</x:f>
        <x:v>94.76190476190474</x:v>
      </x:c>
      <x:c r="J335" s="33" t="str">
        <x:v>Simplisetia</x:v>
      </x:c>
      <x:c r="K335" s="33" t="str">
        <x:v>Nereididae</x:v>
      </x:c>
      <x:c r="L335" s="33" t="str">
        <x:v>Other benthic polychaetes</x:v>
      </x:c>
      <x:c r="M335" s="33" t="str">
        <x:v>Annelida</x:v>
      </x:c>
    </x:row>
    <x:row r="336">
      <x:c r="A336" s="33" t="str">
        <x:v>Ecological proxy</x:v>
      </x:c>
      <x:c r="B336" s="33" t="str">
        <x:v>Family</x:v>
      </x:c>
      <x:c r="C336" s="33" t="str">
        <x:v>Serpulidae</x:v>
      </x:c>
      <x:c r="D336" s="33" t="str">
        <x:v>Ficopomatus enigmaticus</x:v>
      </x:c>
      <x:c r="E336" s="59" t="n">
        <x:v>1.45</x:v>
      </x:c>
      <x:c r="F336" s="59"/>
      <x:c r="G336" s="59" t="str">
        <x:f>IF(F336="","",F336-E336)</x:f>
      </x:c>
      <x:c r="H336" s="59" t="str">
        <x:f>IF(G336="","",ABS(G336))</x:f>
      </x:c>
      <x:c r="I336" s="60" t="str">
        <x:f>IF(G336="","",ABS(G336/E336)*100)</x:f>
      </x:c>
      <x:c r="J336" s="33" t="str">
        <x:v>Ficopomatus</x:v>
      </x:c>
      <x:c r="K336" s="33" t="str">
        <x:v>Serpulidae</x:v>
      </x:c>
      <x:c r="L336" s="33" t="str">
        <x:v>Tube-dwelling polychaetes</x:v>
      </x:c>
      <x:c r="M336" s="33" t="str">
        <x:v>Annelida</x:v>
      </x:c>
    </x:row>
    <x:row r="337">
      <x:c r="A337" s="33" t="str">
        <x:v>Ecological proxy</x:v>
      </x:c>
      <x:c r="B337" s="33" t="str">
        <x:v>Family</x:v>
      </x:c>
      <x:c r="C337" s="33"/>
      <x:c r="D337" s="33" t="str">
        <x:v>Hiatula alba</x:v>
      </x:c>
      <x:c r="E337" s="59" t="n">
        <x:v>1.76</x:v>
      </x:c>
      <x:c r="F337" s="59"/>
      <x:c r="G337" s="59" t="str">
        <x:f>IF(F337="","",F337-E337)</x:f>
      </x:c>
      <x:c r="H337" s="59" t="str">
        <x:f>IF(G337="","",ABS(G337))</x:f>
      </x:c>
      <x:c r="I337" s="60" t="str">
        <x:f>IF(G337="","",ABS(G337/E337)*100)</x:f>
      </x:c>
      <x:c r="J337" s="33" t="str">
        <x:v>Hiatula</x:v>
      </x:c>
      <x:c r="K337" s="33"/>
      <x:c r="L337" s="33" t="str">
        <x:v>Subtidal benthic molluscs</x:v>
      </x:c>
      <x:c r="M337" s="33" t="str">
        <x:v>Mollusca (non-cephalopods)</x:v>
      </x:c>
    </x:row>
    <x:row r="338">
      <x:c r="A338" s="33" t="str">
        <x:v>Ecological proxy</x:v>
      </x:c>
      <x:c r="B338" s="33" t="str">
        <x:v>Family</x:v>
      </x:c>
      <x:c r="C338" s="33" t="str">
        <x:v>Mactridae</x:v>
      </x:c>
      <x:c r="D338" s="33" t="str">
        <x:v>Spisula trigonella</x:v>
      </x:c>
      <x:c r="E338" s="59" t="n">
        <x:v>2.15</x:v>
      </x:c>
      <x:c r="F338" s="59" t="n">
        <x:v>2.13</x:v>
      </x:c>
      <x:c r="G338" s="59" t="n">
        <x:f>IF(F338="","",F338-E338)</x:f>
        <x:v>-0.020000000000000018</x:v>
      </x:c>
      <x:c r="H338" s="59" t="n">
        <x:f>IF(G338="","",ABS(G338))</x:f>
        <x:v>0.020000000000000018</x:v>
      </x:c>
      <x:c r="I338" s="60" t="n">
        <x:f>IF(G338="","",ABS(G338/E338)*100)</x:f>
        <x:v>0.9302325581395358</x:v>
      </x:c>
      <x:c r="J338" s="33" t="str">
        <x:v>Spisula</x:v>
      </x:c>
      <x:c r="K338" s="33" t="str">
        <x:v>Mactridae</x:v>
      </x:c>
      <x:c r="L338" s="33" t="str">
        <x:v>Benthic bivalves</x:v>
      </x:c>
      <x:c r="M338" s="33" t="str">
        <x:v>Mollusca (non-cephalopods)</x:v>
      </x:c>
    </x:row>
    <x:row r="339">
      <x:c r="A339" s="33" t="str">
        <x:v>Ecological proxy</x:v>
      </x:c>
      <x:c r="B339" s="33" t="str">
        <x:v>Family</x:v>
      </x:c>
      <x:c r="C339" s="33" t="str">
        <x:v>Hymenosomatidae</x:v>
      </x:c>
      <x:c r="D339" s="33" t="str">
        <x:v>Amarinus laevis</x:v>
      </x:c>
      <x:c r="E339" s="59" t="n">
        <x:v>2.13</x:v>
      </x:c>
      <x:c r="F339" s="59" t="n">
        <x:v>3.07</x:v>
      </x:c>
      <x:c r="G339" s="59" t="n">
        <x:f>IF(F339="","",F339-E339)</x:f>
        <x:v>0.94</x:v>
      </x:c>
      <x:c r="H339" s="59" t="n">
        <x:f>IF(G339="","",ABS(G339))</x:f>
        <x:v>0.94</x:v>
      </x:c>
      <x:c r="I339" s="60" t="n">
        <x:f>IF(G339="","",ABS(G339/E339)*100)</x:f>
        <x:v>44.13145539906103</x:v>
      </x:c>
      <x:c r="J339" s="33" t="str">
        <x:v>Amarinus</x:v>
      </x:c>
      <x:c r="K339" s="33" t="str">
        <x:v>Hymenosomatidae</x:v>
      </x:c>
      <x:c r="L339" s="33" t="str">
        <x:v>Benthic decapods</x:v>
      </x:c>
      <x:c r="M339" s="33" t="str">
        <x:v>Crustacea</x:v>
      </x:c>
    </x:row>
    <x:row r="340">
      <x:c r="A340" s="33" t="str">
        <x:v>Ecological proxy</x:v>
      </x:c>
      <x:c r="B340" s="33" t="str">
        <x:v>Family</x:v>
      </x:c>
      <x:c r="C340" s="33" t="str">
        <x:v>Varunidae</x:v>
      </x:c>
      <x:c r="D340" s="33" t="str">
        <x:v>Paragrapsus gaimardii</x:v>
      </x:c>
      <x:c r="E340" s="59" t="n">
        <x:v>3.64</x:v>
      </x:c>
      <x:c r="F340" s="59" t="n">
        <x:v>3.07</x:v>
      </x:c>
      <x:c r="G340" s="59" t="n">
        <x:f>IF(F340="","",F340-E340)</x:f>
        <x:v>-0.5700000000000003</x:v>
      </x:c>
      <x:c r="H340" s="59" t="n">
        <x:f>IF(G340="","",ABS(G340))</x:f>
        <x:v>0.5700000000000003</x:v>
      </x:c>
      <x:c r="I340" s="60" t="n">
        <x:f>IF(G340="","",ABS(G340/E340)*100)</x:f>
        <x:v>15.659340659340668</x:v>
      </x:c>
      <x:c r="J340" s="33" t="str">
        <x:v>Paragrapsus</x:v>
      </x:c>
      <x:c r="K340" s="33" t="str">
        <x:v>Varunidae</x:v>
      </x:c>
      <x:c r="L340" s="33" t="str">
        <x:v>Benthic decapods</x:v>
      </x:c>
      <x:c r="M340" s="33" t="str">
        <x:v>Crustacea</x:v>
      </x:c>
    </x:row>
    <x:row r="341">
      <x:c r="A341" s="33" t="str">
        <x:v>Ecological proxy</x:v>
      </x:c>
      <x:c r="B341" s="33" t="str">
        <x:v>Family</x:v>
      </x:c>
      <x:c r="C341" s="33" t="str">
        <x:v>Hemiramphidae</x:v>
      </x:c>
      <x:c r="D341" s="33" t="str">
        <x:v>Hyporhamphus regularis</x:v>
      </x:c>
      <x:c r="E341" s="59" t="n">
        <x:v>5.83</x:v>
      </x:c>
      <x:c r="F341" s="59" t="n">
        <x:v>5.85</x:v>
      </x:c>
      <x:c r="G341" s="59" t="n">
        <x:f>IF(F341="","",F341-E341)</x:f>
        <x:v>0.019999999999999574</x:v>
      </x:c>
      <x:c r="H341" s="59" t="n">
        <x:f>IF(G341="","",ABS(G341))</x:f>
        <x:v>0.019999999999999574</x:v>
      </x:c>
      <x:c r="I341" s="60" t="n">
        <x:f>IF(G341="","",ABS(G341/E341)*100)</x:f>
        <x:v>0.34305317324184514</x:v>
      </x:c>
      <x:c r="J341" s="33" t="str">
        <x:v>Hyporhamphus</x:v>
      </x:c>
      <x:c r="K341" s="33" t="str">
        <x:v>Hemiramphidae</x:v>
      </x:c>
      <x:c r="L341" s="33" t="str">
        <x:v>Coastal surface-dwelling fishes</x:v>
      </x:c>
      <x:c r="M341" s="33" t="str">
        <x:v>Teleostei</x:v>
      </x:c>
    </x:row>
    <x:row r="342">
      <x:c r="A342" s="33" t="str">
        <x:v>Ecological proxy</x:v>
      </x:c>
      <x:c r="B342" s="33" t="str">
        <x:v>Family</x:v>
      </x:c>
      <x:c r="C342" s="33" t="str">
        <x:v>Clupeidae</x:v>
      </x:c>
      <x:c r="D342" s="33" t="str">
        <x:v>Hyperlophus vittatus</x:v>
      </x:c>
      <x:c r="E342" s="59" t="n">
        <x:v>4.4399999999999995</x:v>
      </x:c>
      <x:c r="F342" s="59" t="n">
        <x:v>6</x:v>
      </x:c>
      <x:c r="G342" s="59" t="n">
        <x:f>IF(F342="","",F342-E342)</x:f>
        <x:v>1.5600000000000005</x:v>
      </x:c>
      <x:c r="H342" s="59" t="n">
        <x:f>IF(G342="","",ABS(G342))</x:f>
        <x:v>1.5600000000000005</x:v>
      </x:c>
      <x:c r="I342" s="60" t="n">
        <x:f>IF(G342="","",ABS(G342/E342)*100)</x:f>
        <x:v>35.13513513513515</x:v>
      </x:c>
      <x:c r="J342" s="33" t="str">
        <x:v>Hyperlophus</x:v>
      </x:c>
      <x:c r="K342" s="33" t="str">
        <x:v>Clupeidae</x:v>
      </x:c>
      <x:c r="L342" s="33" t="str">
        <x:v>Small pelagic forage fishes</x:v>
      </x:c>
      <x:c r="M342" s="33" t="str">
        <x:v>Teleostei</x:v>
      </x:c>
    </x:row>
    <x:row r="343">
      <x:c r="A343" s="33" t="str">
        <x:v>Ecological proxy</x:v>
      </x:c>
      <x:c r="B343" s="33" t="str">
        <x:v>Family</x:v>
      </x:c>
      <x:c r="C343" s="33" t="str">
        <x:v>Gobiidae</x:v>
      </x:c>
      <x:c r="D343" s="33" t="str">
        <x:v>Afurcagobius tamarensis</x:v>
      </x:c>
      <x:c r="E343" s="59" t="n">
        <x:v>5</x:v>
      </x:c>
      <x:c r="F343" s="59" t="n">
        <x:v>5.25</x:v>
      </x:c>
      <x:c r="G343" s="59" t="n">
        <x:f>IF(F343="","",F343-E343)</x:f>
        <x:v>0.25</x:v>
      </x:c>
      <x:c r="H343" s="59" t="n">
        <x:f>IF(G343="","",ABS(G343))</x:f>
        <x:v>0.25</x:v>
      </x:c>
      <x:c r="I343" s="60" t="n">
        <x:f>IF(G343="","",ABS(G343/E343)*100)</x:f>
        <x:v>5</x:v>
      </x:c>
      <x:c r="J343" s="33" t="str">
        <x:v>Afurcagobius</x:v>
      </x:c>
      <x:c r="K343" s="33" t="str">
        <x:v>Gobiidae</x:v>
      </x:c>
      <x:c r="L343" s="33" t="str">
        <x:v>Small demersal zoobenthivorous fishes</x:v>
      </x:c>
      <x:c r="M343" s="33" t="str">
        <x:v>Teleostei</x:v>
      </x:c>
    </x:row>
    <x:row r="344">
      <x:c r="A344" s="33" t="str">
        <x:v>Ecological proxy</x:v>
      </x:c>
      <x:c r="B344" s="33" t="str">
        <x:v>Family</x:v>
      </x:c>
      <x:c r="C344" s="33" t="str">
        <x:v>Gobiidae</x:v>
      </x:c>
      <x:c r="D344" s="33" t="str">
        <x:v>Tasmanogobius lasti</x:v>
      </x:c>
      <x:c r="E344" s="59" t="n">
        <x:v>5.64</x:v>
      </x:c>
      <x:c r="F344" s="59" t="n">
        <x:v>5.25</x:v>
      </x:c>
      <x:c r="G344" s="59" t="n">
        <x:f>IF(F344="","",F344-E344)</x:f>
        <x:v>-0.3899999999999997</x:v>
      </x:c>
      <x:c r="H344" s="59" t="n">
        <x:f>IF(G344="","",ABS(G344))</x:f>
        <x:v>0.3899999999999997</x:v>
      </x:c>
      <x:c r="I344" s="60" t="n">
        <x:f>IF(G344="","",ABS(G344/E344)*100)</x:f>
        <x:v>6.914893617021272</x:v>
      </x:c>
      <x:c r="J344" s="33" t="str">
        <x:v>Tasmanogobius</x:v>
      </x:c>
      <x:c r="K344" s="33" t="str">
        <x:v>Gobiidae</x:v>
      </x:c>
      <x:c r="L344" s="33" t="str">
        <x:v>Small demersal zoobenthivorous fishes</x:v>
      </x:c>
      <x:c r="M344" s="33" t="str">
        <x:v>Teleostei</x:v>
      </x:c>
    </x:row>
    <x:row r="345">
      <x:c r="A345" s="33" t="str">
        <x:v>Ecological proxy</x:v>
      </x:c>
      <x:c r="B345" s="33" t="str">
        <x:v>Family</x:v>
      </x:c>
      <x:c r="C345" s="33" t="str">
        <x:v>Pseudaphritidae</x:v>
      </x:c>
      <x:c r="D345" s="33" t="str">
        <x:v>Pseudaphritis urvillii</x:v>
      </x:c>
      <x:c r="E345" s="59" t="n">
        <x:v>6.35</x:v>
      </x:c>
      <x:c r="F345" s="59" t="n">
        <x:v>5</x:v>
      </x:c>
      <x:c r="G345" s="59" t="n">
        <x:f>IF(F345="","",F345-E345)</x:f>
        <x:v>-1.3499999999999996</x:v>
      </x:c>
      <x:c r="H345" s="59" t="n">
        <x:f>IF(G345="","",ABS(G345))</x:f>
        <x:v>1.3499999999999996</x:v>
      </x:c>
      <x:c r="I345" s="60" t="n">
        <x:f>IF(G345="","",ABS(G345/E345)*100)</x:f>
        <x:v>21.259842519685034</x:v>
      </x:c>
      <x:c r="J345" s="33" t="str">
        <x:v>Pseudaphritis</x:v>
      </x:c>
      <x:c r="K345" s="33" t="str">
        <x:v>Pseudaphritidae</x:v>
      </x:c>
      <x:c r="L345" s="33" t="str">
        <x:v>Other demersal fishes</x:v>
      </x:c>
      <x:c r="M345" s="33" t="str">
        <x:v>Teleostei</x:v>
      </x:c>
    </x:row>
    <x:row r="346">
      <x:c r="A346" s="33" t="str">
        <x:v>Ecological proxy</x:v>
      </x:c>
      <x:c r="B346" s="33" t="str">
        <x:v>Family</x:v>
      </x:c>
      <x:c r="C346" s="33" t="str">
        <x:v>Atherinidae</x:v>
      </x:c>
      <x:c r="D346" s="33" t="str">
        <x:v>Atherinosoma microstoma</x:v>
      </x:c>
      <x:c r="E346" s="59" t="n">
        <x:v>5.32</x:v>
      </x:c>
      <x:c r="F346" s="59" t="n">
        <x:v>6.745</x:v>
      </x:c>
      <x:c r="G346" s="59" t="n">
        <x:f>IF(F346="","",F346-E346)</x:f>
        <x:v>1.4249999999999998</x:v>
      </x:c>
      <x:c r="H346" s="59" t="n">
        <x:f>IF(G346="","",ABS(G346))</x:f>
        <x:v>1.4249999999999998</x:v>
      </x:c>
      <x:c r="I346" s="60" t="n">
        <x:f>IF(G346="","",ABS(G346/E346)*100)</x:f>
        <x:v>26.785714285714278</x:v>
      </x:c>
      <x:c r="J346" s="33" t="str">
        <x:v>Atherinosoma</x:v>
      </x:c>
      <x:c r="K346" s="33" t="str">
        <x:v>Atherinidae</x:v>
      </x:c>
      <x:c r="L346" s="33" t="str">
        <x:v>Small pelagic forage fishes</x:v>
      </x:c>
      <x:c r="M346" s="33" t="str">
        <x:v>Teleostei</x:v>
      </x:c>
    </x:row>
    <x:row r="347">
      <x:c r="A347" s="33" t="str">
        <x:v>Ecological proxy</x:v>
      </x:c>
      <x:c r="B347" s="33" t="str">
        <x:v>Family</x:v>
      </x:c>
      <x:c r="C347" s="33" t="str">
        <x:v>Mugilidae</x:v>
      </x:c>
      <x:c r="D347" s="33" t="str">
        <x:v>Aldrichetta forsteri</x:v>
      </x:c>
      <x:c r="E347" s="59" t="n">
        <x:v>6.14</x:v>
      </x:c>
      <x:c r="F347" s="59"/>
      <x:c r="G347" s="59" t="str">
        <x:f>IF(F347="","",F347-E347)</x:f>
      </x:c>
      <x:c r="H347" s="59" t="str">
        <x:f>IF(G347="","",ABS(G347))</x:f>
      </x:c>
      <x:c r="I347" s="60" t="str">
        <x:f>IF(G347="","",ABS(G347/E347)*100)</x:f>
      </x:c>
      <x:c r="J347" s="33" t="str">
        <x:v>Aldrichetta</x:v>
      </x:c>
      <x:c r="K347" s="33" t="str">
        <x:v>Mugilidae</x:v>
      </x:c>
      <x:c r="L347" s="33" t="str">
        <x:v>Estuarine/coastal fishes</x:v>
      </x:c>
      <x:c r="M347" s="33" t="str">
        <x:v>Teleostei</x:v>
      </x:c>
    </x:row>
    <x:row r="348">
      <x:c r="A348" s="33" t="str">
        <x:v>Ecological proxy</x:v>
      </x:c>
      <x:c r="B348" s="33" t="str">
        <x:v>Family</x:v>
      </x:c>
      <x:c r="C348" s="33" t="str">
        <x:v>Pleuronectidae</x:v>
      </x:c>
      <x:c r="D348" s="33" t="str">
        <x:v>Ammotretis rostratus</x:v>
      </x:c>
      <x:c r="E348" s="59" t="n">
        <x:v>4.72</x:v>
      </x:c>
      <x:c r="F348" s="59" t="n">
        <x:v>4.98</x:v>
      </x:c>
      <x:c r="G348" s="59" t="n">
        <x:f>IF(F348="","",F348-E348)</x:f>
        <x:v>0.2600000000000007</x:v>
      </x:c>
      <x:c r="H348" s="59" t="n">
        <x:f>IF(G348="","",ABS(G348))</x:f>
        <x:v>0.2600000000000007</x:v>
      </x:c>
      <x:c r="I348" s="60" t="n">
        <x:f>IF(G348="","",ABS(G348/E348)*100)</x:f>
        <x:v>5.508474576271201</x:v>
      </x:c>
      <x:c r="J348" s="33" t="str">
        <x:v>Ammotretis</x:v>
      </x:c>
      <x:c r="K348" s="33" t="str">
        <x:v>Pleuronectidae</x:v>
      </x:c>
      <x:c r="L348" s="33" t="str">
        <x:v>Demersal flatfishes</x:v>
      </x:c>
      <x:c r="M348" s="33" t="str">
        <x:v>Teleostei</x:v>
      </x:c>
    </x:row>
    <x:row r="349">
      <x:c r="A349" s="33" t="str">
        <x:v>Ecological proxy</x:v>
      </x:c>
      <x:c r="B349" s="33" t="str">
        <x:v>Family</x:v>
      </x:c>
      <x:c r="C349" s="33" t="str">
        <x:v>Pleuronectidae</x:v>
      </x:c>
      <x:c r="D349" s="33" t="str">
        <x:v>Rhombosolea tapirina</x:v>
      </x:c>
      <x:c r="E349" s="59" t="n">
        <x:v>4.99</x:v>
      </x:c>
      <x:c r="F349" s="59" t="n">
        <x:v>4.98</x:v>
      </x:c>
      <x:c r="G349" s="59" t="n">
        <x:f>IF(F349="","",F349-E349)</x:f>
        <x:v>-0.009999999999999787</x:v>
      </x:c>
      <x:c r="H349" s="59" t="n">
        <x:f>IF(G349="","",ABS(G349))</x:f>
        <x:v>0.009999999999999787</x:v>
      </x:c>
      <x:c r="I349" s="60" t="n">
        <x:f>IF(G349="","",ABS(G349/E349)*100)</x:f>
        <x:v>0.20040080160320214</x:v>
      </x:c>
      <x:c r="J349" s="33" t="str">
        <x:v>Rhombosolea</x:v>
      </x:c>
      <x:c r="K349" s="33" t="str">
        <x:v>Pleuronectidae</x:v>
      </x:c>
      <x:c r="L349" s="33" t="str">
        <x:v>Demersal flatfishes</x:v>
      </x:c>
      <x:c r="M349" s="33" t="str">
        <x:v>Teleostei</x:v>
      </x:c>
    </x:row>
    <x:row r="350">
      <x:c r="A350" s="33" t="str">
        <x:v>Ecological proxy</x:v>
      </x:c>
      <x:c r="B350" s="33" t="str">
        <x:v>Family</x:v>
      </x:c>
      <x:c r="C350" s="33" t="str">
        <x:v>Sparidae</x:v>
      </x:c>
      <x:c r="D350" s="33" t="str">
        <x:v>Acanthopagrus butcheri</x:v>
      </x:c>
      <x:c r="E350" s="59" t="n">
        <x:v>5.97</x:v>
      </x:c>
      <x:c r="F350" s="59" t="n">
        <x:v>4.85</x:v>
      </x:c>
      <x:c r="G350" s="59" t="n">
        <x:f>IF(F350="","",F350-E350)</x:f>
        <x:v>-1.12</x:v>
      </x:c>
      <x:c r="H350" s="59" t="n">
        <x:f>IF(G350="","",ABS(G350))</x:f>
        <x:v>1.12</x:v>
      </x:c>
      <x:c r="I350" s="60" t="n">
        <x:f>IF(G350="","",ABS(G350/E350)*100)</x:f>
        <x:v>18.760469011725295</x:v>
      </x:c>
      <x:c r="J350" s="33" t="str">
        <x:v>Acanthopagrus</x:v>
      </x:c>
      <x:c r="K350" s="33" t="str">
        <x:v>Sparidae</x:v>
      </x:c>
      <x:c r="L350" s="33" t="str">
        <x:v>Other demersal fishes</x:v>
      </x:c>
      <x:c r="M350" s="33" t="str">
        <x:v>Teleostei</x:v>
      </x:c>
    </x:row>
    <x:row r="351">
      <x:c r="A351" s="33" t="str">
        <x:v>Ecological proxy</x:v>
      </x:c>
      <x:c r="B351" s="33" t="str">
        <x:v>Family</x:v>
      </x:c>
      <x:c r="C351" s="33" t="str">
        <x:v>Arripidae</x:v>
      </x:c>
      <x:c r="D351" s="33" t="str">
        <x:v>Arripis truttaceus</x:v>
      </x:c>
      <x:c r="E351" s="59" t="n">
        <x:v>5.92</x:v>
      </x:c>
      <x:c r="F351" s="59"/>
      <x:c r="G351" s="59" t="str">
        <x:f>IF(F351="","",F351-E351)</x:f>
      </x:c>
      <x:c r="H351" s="59" t="str">
        <x:f>IF(G351="","",ABS(G351))</x:f>
      </x:c>
      <x:c r="I351" s="60" t="str">
        <x:f>IF(G351="","",ABS(G351/E351)*100)</x:f>
      </x:c>
      <x:c r="J351" s="33" t="str">
        <x:v>Arripis</x:v>
      </x:c>
      <x:c r="K351" s="33" t="str">
        <x:v>Arripidae</x:v>
      </x:c>
      <x:c r="L351" s="33" t="str">
        <x:v>Other pelagic fishes</x:v>
      </x:c>
      <x:c r="M351" s="33" t="str">
        <x:v>Teleostei</x:v>
      </x:c>
    </x:row>
    <x:row r="352">
      <x:c r="A352" s="33" t="str">
        <x:v>Ecological proxy</x:v>
      </x:c>
      <x:c r="B352" s="33" t="str">
        <x:v>Family</x:v>
      </x:c>
      <x:c r="C352" s="33" t="str">
        <x:v>Sciaenidae</x:v>
      </x:c>
      <x:c r="D352" s="33" t="str">
        <x:v>Argyrosomus japonicus</x:v>
      </x:c>
      <x:c r="E352" s="59" t="n">
        <x:v>5.56</x:v>
      </x:c>
      <x:c r="F352" s="59" t="n">
        <x:v>5</x:v>
      </x:c>
      <x:c r="G352" s="59" t="n">
        <x:f>IF(F352="","",F352-E352)</x:f>
        <x:v>-0.5599999999999996</x:v>
      </x:c>
      <x:c r="H352" s="59" t="n">
        <x:f>IF(G352="","",ABS(G352))</x:f>
        <x:v>0.5599999999999996</x:v>
      </x:c>
      <x:c r="I352" s="60" t="n">
        <x:f>IF(G352="","",ABS(G352/E352)*100)</x:f>
        <x:v>10.07194244604316</x:v>
      </x:c>
      <x:c r="J352" s="33" t="str">
        <x:v>Argyrosomus</x:v>
      </x:c>
      <x:c r="K352" s="33" t="str">
        <x:v>Sciaenidae</x:v>
      </x:c>
      <x:c r="L352" s="33" t="str">
        <x:v>Other demersal fishes</x:v>
      </x:c>
      <x:c r="M352" s="33" t="str">
        <x:v>Teleostei</x:v>
      </x:c>
    </x:row>
    <x:row r="353">
      <x:c r="A353" s="33" t="str">
        <x:v>Ecological proxy</x:v>
      </x:c>
      <x:c r="B353" s="33" t="str">
        <x:v>Family</x:v>
      </x:c>
      <x:c r="C353" s="33" t="str">
        <x:v>Engraulidae</x:v>
      </x:c>
      <x:c r="D353" s="33" t="str">
        <x:v>Engraulis mordax</x:v>
      </x:c>
      <x:c r="E353" s="59" t="n">
        <x:v>7.85</x:v>
      </x:c>
      <x:c r="F353" s="59" t="n">
        <x:v>6.745</x:v>
      </x:c>
      <x:c r="G353" s="59" t="n">
        <x:f>IF(F353="","",F353-E353)</x:f>
        <x:v>-1.1049999999999995</x:v>
      </x:c>
      <x:c r="H353" s="59" t="n">
        <x:f>IF(G353="","",ABS(G353))</x:f>
        <x:v>1.1049999999999995</x:v>
      </x:c>
      <x:c r="I353" s="60" t="n">
        <x:f>IF(G353="","",ABS(G353/E353)*100)</x:f>
        <x:v>14.076433121019102</x:v>
      </x:c>
      <x:c r="J353" s="33" t="str">
        <x:v>Engraulis</x:v>
      </x:c>
      <x:c r="K353" s="33" t="str">
        <x:v>Engraulidae</x:v>
      </x:c>
      <x:c r="L353" s="33" t="str">
        <x:v>Small pelagic forage fishes</x:v>
      </x:c>
      <x:c r="M353" s="33" t="str">
        <x:v>Teleostei</x:v>
      </x:c>
    </x:row>
    <x:row r="354">
      <x:c r="A354" s="33" t="str">
        <x:v>Ecological proxy</x:v>
      </x:c>
      <x:c r="B354" s="33" t="str">
        <x:v>Family</x:v>
      </x:c>
      <x:c r="C354" s="33" t="str">
        <x:v>Clupeidae</x:v>
      </x:c>
      <x:c r="D354" s="33" t="str">
        <x:v>Sardinops sagax</x:v>
      </x:c>
      <x:c r="E354" s="59" t="n">
        <x:v>6.75</x:v>
      </x:c>
      <x:c r="F354" s="59" t="n">
        <x:v>6</x:v>
      </x:c>
      <x:c r="G354" s="59" t="n">
        <x:f>IF(F354="","",F354-E354)</x:f>
        <x:v>-0.75</x:v>
      </x:c>
      <x:c r="H354" s="59" t="n">
        <x:f>IF(G354="","",ABS(G354))</x:f>
        <x:v>0.75</x:v>
      </x:c>
      <x:c r="I354" s="60" t="n">
        <x:f>IF(G354="","",ABS(G354/E354)*100)</x:f>
        <x:v>11.11111111111111</x:v>
      </x:c>
      <x:c r="J354" s="33" t="str">
        <x:v>Sardinops</x:v>
      </x:c>
      <x:c r="K354" s="33" t="str">
        <x:v>Clupeidae</x:v>
      </x:c>
      <x:c r="L354" s="33" t="str">
        <x:v>Small pelagic forage fishes</x:v>
      </x:c>
      <x:c r="M354" s="33" t="str">
        <x:v>Teleostei</x:v>
      </x:c>
    </x:row>
    <x:row r="355">
      <x:c r="A355" s="33" t="str">
        <x:v>Ecological proxy</x:v>
      </x:c>
      <x:c r="B355" s="33" t="str">
        <x:v>Family</x:v>
      </x:c>
      <x:c r="C355" s="33" t="str">
        <x:v>Loliginidae</x:v>
      </x:c>
      <x:c r="D355" s="33" t="str">
        <x:v>Doryteuthis opalescens</x:v>
      </x:c>
      <x:c r="E355" s="59" t="n">
        <x:v>4.85</x:v>
      </x:c>
      <x:c r="F355" s="59" t="n">
        <x:v>3.81</x:v>
      </x:c>
      <x:c r="G355" s="59" t="n">
        <x:f>IF(F355="","",F355-E355)</x:f>
        <x:v>-1.0399999999999996</x:v>
      </x:c>
      <x:c r="H355" s="59" t="n">
        <x:f>IF(G355="","",ABS(G355))</x:f>
        <x:v>1.0399999999999996</x:v>
      </x:c>
      <x:c r="I355" s="60" t="n">
        <x:f>IF(G355="","",ABS(G355/E355)*100)</x:f>
        <x:v>21.44329896907216</x:v>
      </x:c>
      <x:c r="J355" s="33" t="str">
        <x:v>Doryteuthis</x:v>
      </x:c>
      <x:c r="K355" s="33" t="str">
        <x:v>Loliginidae</x:v>
      </x:c>
      <x:c r="L355" s="33" t="str">
        <x:v>Pelagic squids</x:v>
      </x:c>
      <x:c r="M355" s="33" t="str">
        <x:v>Cephalopoda</x:v>
      </x:c>
    </x:row>
    <x:row r="356">
      <x:c r="A356" s="33" t="str">
        <x:v>Ecological proxy</x:v>
      </x:c>
      <x:c r="B356" s="33" t="str">
        <x:v>Family</x:v>
      </x:c>
      <x:c r="C356" s="33" t="str">
        <x:v>Clupeidae</x:v>
      </x:c>
      <x:c r="D356" s="33" t="str">
        <x:v>Alosa pseudoharengus</x:v>
      </x:c>
      <x:c r="E356" s="59" t="n">
        <x:v>6.99</x:v>
      </x:c>
      <x:c r="F356" s="59" t="n">
        <x:v>6</x:v>
      </x:c>
      <x:c r="G356" s="59" t="n">
        <x:f>IF(F356="","",F356-E356)</x:f>
        <x:v>-0.9900000000000002</x:v>
      </x:c>
      <x:c r="H356" s="59" t="n">
        <x:f>IF(G356="","",ABS(G356))</x:f>
        <x:v>0.9900000000000002</x:v>
      </x:c>
      <x:c r="I356" s="60" t="n">
        <x:f>IF(G356="","",ABS(G356/E356)*100)</x:f>
        <x:v>14.163090128755368</x:v>
      </x:c>
      <x:c r="J356" s="33" t="str">
        <x:v>Alosa</x:v>
      </x:c>
      <x:c r="K356" s="33" t="str">
        <x:v>Clupeidae</x:v>
      </x:c>
      <x:c r="L356" s="33" t="str">
        <x:v>Small pelagic forage fishes</x:v>
      </x:c>
      <x:c r="M356" s="33" t="str">
        <x:v>Teleostei</x:v>
      </x:c>
    </x:row>
    <x:row r="357">
      <x:c r="A357" s="33" t="str">
        <x:v>Ecological proxy</x:v>
      </x:c>
      <x:c r="B357" s="33" t="str">
        <x:v>Family</x:v>
      </x:c>
      <x:c r="C357" s="33" t="str">
        <x:v>Merlucciidae</x:v>
      </x:c>
      <x:c r="D357" s="33" t="str">
        <x:v>Merluccius bilinearis</x:v>
      </x:c>
      <x:c r="E357" s="59" t="n">
        <x:v>4.28</x:v>
      </x:c>
      <x:c r="F357" s="59" t="n">
        <x:v>5.06</x:v>
      </x:c>
      <x:c r="G357" s="59" t="n">
        <x:f>IF(F357="","",F357-E357)</x:f>
        <x:v>0.7799999999999994</x:v>
      </x:c>
      <x:c r="H357" s="59" t="n">
        <x:f>IF(G357="","",ABS(G357))</x:f>
        <x:v>0.7799999999999994</x:v>
      </x:c>
      <x:c r="I357" s="60" t="n">
        <x:f>IF(G357="","",ABS(G357/E357)*100)</x:f>
        <x:v>18.224299065420546</x:v>
      </x:c>
      <x:c r="J357" s="33" t="str">
        <x:v>Merluccius</x:v>
      </x:c>
      <x:c r="K357" s="33" t="str">
        <x:v>Merlucciidae</x:v>
      </x:c>
      <x:c r="L357" s="33" t="str">
        <x:v>Other demersal fishes</x:v>
      </x:c>
      <x:c r="M357" s="33" t="str">
        <x:v>Teleostei</x:v>
      </x:c>
    </x:row>
    <x:row r="358">
      <x:c r="A358" s="33" t="str">
        <x:v>Ecological proxy</x:v>
      </x:c>
      <x:c r="B358" s="33" t="str">
        <x:v>Family</x:v>
      </x:c>
      <x:c r="C358" s="33" t="str">
        <x:v>Ammodytidae</x:v>
      </x:c>
      <x:c r="D358" s="33" t="str">
        <x:v>Ammodytes dubius</x:v>
      </x:c>
      <x:c r="E358" s="59" t="n">
        <x:v>6</x:v>
      </x:c>
      <x:c r="F358" s="59" t="n">
        <x:v>6.9025</x:v>
      </x:c>
      <x:c r="G358" s="59" t="n">
        <x:f>IF(F358="","",F358-E358)</x:f>
        <x:v>0.9024999999999999</x:v>
      </x:c>
      <x:c r="H358" s="59" t="n">
        <x:f>IF(G358="","",ABS(G358))</x:f>
        <x:v>0.9024999999999999</x:v>
      </x:c>
      <x:c r="I358" s="60" t="n">
        <x:f>IF(G358="","",ABS(G358/E358)*100)</x:f>
        <x:v>15.041666666666664</x:v>
      </x:c>
      <x:c r="J358" s="33" t="str">
        <x:v>Ammodytes</x:v>
      </x:c>
      <x:c r="K358" s="33" t="str">
        <x:v>Ammodytidae</x:v>
      </x:c>
      <x:c r="L358" s="33" t="str">
        <x:v>Small pelagic forage fishes</x:v>
      </x:c>
      <x:c r="M358" s="33" t="str">
        <x:v>Teleostei</x:v>
      </x:c>
    </x:row>
    <x:row r="359">
      <x:c r="A359" s="33" t="str">
        <x:v>Ecological proxy</x:v>
      </x:c>
      <x:c r="B359" s="33" t="str">
        <x:v>Family</x:v>
      </x:c>
      <x:c r="C359" s="33" t="str">
        <x:v>Stromateidae</x:v>
      </x:c>
      <x:c r="D359" s="33" t="str">
        <x:v>Peprilus triacanthus</x:v>
      </x:c>
      <x:c r="E359" s="59" t="n">
        <x:v>6.74</x:v>
      </x:c>
      <x:c r="F359" s="59" t="n">
        <x:v>6.75</x:v>
      </x:c>
      <x:c r="G359" s="59" t="n">
        <x:f>IF(F359="","",F359-E359)</x:f>
        <x:v>0.009999999999999787</x:v>
      </x:c>
      <x:c r="H359" s="59" t="n">
        <x:f>IF(G359="","",ABS(G359))</x:f>
        <x:v>0.009999999999999787</x:v>
      </x:c>
      <x:c r="I359" s="60" t="n">
        <x:f>IF(G359="","",ABS(G359/E359)*100)</x:f>
        <x:v>0.14836795252225204</x:v>
      </x:c>
      <x:c r="J359" s="33" t="str">
        <x:v>Peprilus</x:v>
      </x:c>
      <x:c r="K359" s="33" t="str">
        <x:v>Stromateidae</x:v>
      </x:c>
      <x:c r="L359" s="33" t="str">
        <x:v>Small pelagic forage fishes</x:v>
      </x:c>
      <x:c r="M359" s="33" t="str">
        <x:v>Teleostei</x:v>
      </x:c>
    </x:row>
    <x:row r="360">
      <x:c r="A360" s="33" t="str">
        <x:v>Ecological proxy</x:v>
      </x:c>
      <x:c r="B360" s="33" t="str">
        <x:v>Family</x:v>
      </x:c>
      <x:c r="C360" s="33" t="str">
        <x:v>Ommastrephidae</x:v>
      </x:c>
      <x:c r="D360" s="33" t="str">
        <x:v>Illex illecebrosus</x:v>
      </x:c>
      <x:c r="E360" s="59" t="n">
        <x:v>5.45</x:v>
      </x:c>
      <x:c r="F360" s="59" t="n">
        <x:v>3.81</x:v>
      </x:c>
      <x:c r="G360" s="59" t="n">
        <x:f>IF(F360="","",F360-E360)</x:f>
        <x:v>-1.6400000000000001</x:v>
      </x:c>
      <x:c r="H360" s="59" t="n">
        <x:f>IF(G360="","",ABS(G360))</x:f>
        <x:v>1.6400000000000001</x:v>
      </x:c>
      <x:c r="I360" s="60" t="n">
        <x:f>IF(G360="","",ABS(G360/E360)*100)</x:f>
        <x:v>30.091743119266056</x:v>
      </x:c>
      <x:c r="J360" s="33" t="str">
        <x:v>Illex</x:v>
      </x:c>
      <x:c r="K360" s="33" t="str">
        <x:v>Ommastrephidae</x:v>
      </x:c>
      <x:c r="L360" s="33" t="str">
        <x:v>Pelagic squids</x:v>
      </x:c>
      <x:c r="M360" s="33" t="str">
        <x:v>Cephalopoda</x:v>
      </x:c>
    </x:row>
    <x:row r="361">
      <x:c r="A361" s="33" t="str">
        <x:v>Ecological proxy</x:v>
      </x:c>
      <x:c r="B361" s="33" t="str">
        <x:v>Family</x:v>
      </x:c>
      <x:c r="C361" s="33" t="str">
        <x:v>Loliginidae</x:v>
      </x:c>
      <x:c r="D361" s="33" t="str">
        <x:v>Doryteuthis pealeii</x:v>
      </x:c>
      <x:c r="E361" s="59" t="n">
        <x:v>5.16</x:v>
      </x:c>
      <x:c r="F361" s="59" t="n">
        <x:v>3.81</x:v>
      </x:c>
      <x:c r="G361" s="59" t="n">
        <x:f>IF(F361="","",F361-E361)</x:f>
        <x:v>-1.35</x:v>
      </x:c>
      <x:c r="H361" s="59" t="n">
        <x:f>IF(G361="","",ABS(G361))</x:f>
        <x:v>1.35</x:v>
      </x:c>
      <x:c r="I361" s="60" t="n">
        <x:f>IF(G361="","",ABS(G361/E361)*100)</x:f>
        <x:v>26.16279069767442</x:v>
      </x:c>
      <x:c r="J361" s="33" t="str">
        <x:v>Doryteuthis</x:v>
      </x:c>
      <x:c r="K361" s="33" t="str">
        <x:v>Loliginidae</x:v>
      </x:c>
      <x:c r="L361" s="33" t="str">
        <x:v>Pelagic squids</x:v>
      </x:c>
      <x:c r="M361" s="33" t="str">
        <x:v>Cephalopoda</x:v>
      </x:c>
    </x:row>
    <x:row r="362">
      <x:c r="A362" s="33" t="str">
        <x:v>Ecological proxy</x:v>
      </x:c>
      <x:c r="B362" s="33" t="str">
        <x:v>Family</x:v>
      </x:c>
      <x:c r="C362" s="33" t="str">
        <x:v>Pomatomidae</x:v>
      </x:c>
      <x:c r="D362" s="33" t="str">
        <x:v>Pomatomus saltatrix</x:v>
      </x:c>
      <x:c r="E362" s="59" t="n">
        <x:v>7.06</x:v>
      </x:c>
      <x:c r="F362" s="59"/>
      <x:c r="G362" s="59" t="str">
        <x:f>IF(F362="","",F362-E362)</x:f>
      </x:c>
      <x:c r="H362" s="59" t="str">
        <x:f>IF(G362="","",ABS(G362))</x:f>
      </x:c>
      <x:c r="I362" s="60" t="str">
        <x:f>IF(G362="","",ABS(G362/E362)*100)</x:f>
      </x:c>
      <x:c r="J362" s="33" t="str">
        <x:v>Pomatomus</x:v>
      </x:c>
      <x:c r="K362" s="33" t="str">
        <x:v>Pomatomidae</x:v>
      </x:c>
      <x:c r="L362" s="33" t="str">
        <x:v>Pelagic predatory fishes</x:v>
      </x:c>
      <x:c r="M362" s="33" t="str">
        <x:v>Teleostei</x:v>
      </x:c>
    </x:row>
    <x:row r="363">
      <x:c r="A363" s="33" t="str">
        <x:v>Ecological proxy</x:v>
      </x:c>
      <x:c r="B363" s="33" t="str">
        <x:v>Family</x:v>
      </x:c>
      <x:c r="C363" s="33" t="str">
        <x:v>Carangidae</x:v>
      </x:c>
      <x:c r="D363" s="33" t="str">
        <x:v>Trachurus novaezelandiae</x:v>
      </x:c>
      <x:c r="E363" s="59" t="n">
        <x:v>5.78</x:v>
      </x:c>
      <x:c r="F363" s="59" t="n">
        <x:v>6.75</x:v>
      </x:c>
      <x:c r="G363" s="59" t="n">
        <x:f>IF(F363="","",F363-E363)</x:f>
        <x:v>0.9699999999999998</x:v>
      </x:c>
      <x:c r="H363" s="59" t="n">
        <x:f>IF(G363="","",ABS(G363))</x:f>
        <x:v>0.9699999999999998</x:v>
      </x:c>
      <x:c r="I363" s="60" t="n">
        <x:f>IF(G363="","",ABS(G363/E363)*100)</x:f>
        <x:v>16.78200692041522</x:v>
      </x:c>
      <x:c r="J363" s="33" t="str">
        <x:v>Trachurus</x:v>
      </x:c>
      <x:c r="K363" s="33" t="str">
        <x:v>Carangidae</x:v>
      </x:c>
      <x:c r="L363" s="33" t="str">
        <x:v>Small pelagic forage fishes</x:v>
      </x:c>
      <x:c r="M363" s="33" t="str">
        <x:v>Teleostei</x:v>
      </x:c>
    </x:row>
    <x:row r="364">
      <x:c r="A364" s="33" t="str">
        <x:v>Ecological proxy</x:v>
      </x:c>
      <x:c r="B364" s="33" t="str">
        <x:v>Family</x:v>
      </x:c>
      <x:c r="C364" s="33" t="str">
        <x:v>Sparidae</x:v>
      </x:c>
      <x:c r="D364" s="33" t="str">
        <x:v>Acanthopagrus australis</x:v>
      </x:c>
      <x:c r="E364" s="59" t="n">
        <x:v>5.75</x:v>
      </x:c>
      <x:c r="F364" s="59" t="n">
        <x:v>4.85</x:v>
      </x:c>
      <x:c r="G364" s="59" t="n">
        <x:f>IF(F364="","",F364-E364)</x:f>
        <x:v>-0.9000000000000004</x:v>
      </x:c>
      <x:c r="H364" s="59" t="n">
        <x:f>IF(G364="","",ABS(G364))</x:f>
        <x:v>0.9000000000000004</x:v>
      </x:c>
      <x:c r="I364" s="60" t="n">
        <x:f>IF(G364="","",ABS(G364/E364)*100)</x:f>
        <x:v>15.652173913043486</x:v>
      </x:c>
      <x:c r="J364" s="33" t="str">
        <x:v>Acanthopagrus</x:v>
      </x:c>
      <x:c r="K364" s="33" t="str">
        <x:v>Sparidae</x:v>
      </x:c>
      <x:c r="L364" s="33" t="str">
        <x:v>Other demersal fishes</x:v>
      </x:c>
      <x:c r="M364" s="33" t="str">
        <x:v>Teleostei</x:v>
      </x:c>
    </x:row>
    <x:row r="365">
      <x:c r="A365" s="33" t="str">
        <x:v>Ecological proxy</x:v>
      </x:c>
      <x:c r="B365" s="33" t="str">
        <x:v>Family</x:v>
      </x:c>
      <x:c r="C365" s="33" t="str">
        <x:v>Scombridae</x:v>
      </x:c>
      <x:c r="D365" s="33" t="str">
        <x:v>Scomber australasicus</x:v>
      </x:c>
      <x:c r="E365" s="59" t="n">
        <x:v>5.43</x:v>
      </x:c>
      <x:c r="F365" s="59" t="n">
        <x:v>6.745</x:v>
      </x:c>
      <x:c r="G365" s="59" t="n">
        <x:f>IF(F365="","",F365-E365)</x:f>
        <x:v>1.3150000000000004</x:v>
      </x:c>
      <x:c r="H365" s="59" t="n">
        <x:f>IF(G365="","",ABS(G365))</x:f>
        <x:v>1.3150000000000004</x:v>
      </x:c>
      <x:c r="I365" s="60" t="n">
        <x:f>IF(G365="","",ABS(G365/E365)*100)</x:f>
        <x:v>24.217311233885827</x:v>
      </x:c>
      <x:c r="J365" s="33" t="str">
        <x:v>Scomber</x:v>
      </x:c>
      <x:c r="K365" s="33" t="str">
        <x:v>Scombridae</x:v>
      </x:c>
      <x:c r="L365" s="33" t="str">
        <x:v>Small pelagic forage fishes</x:v>
      </x:c>
      <x:c r="M365" s="33" t="str">
        <x:v>Teleostei</x:v>
      </x:c>
    </x:row>
    <x:row r="366">
      <x:c r="A366" s="33" t="str">
        <x:v>Ecological proxy</x:v>
      </x:c>
      <x:c r="B366" s="33" t="str">
        <x:v>Family</x:v>
      </x:c>
      <x:c r="C366" s="33" t="str">
        <x:v>Mugilidae</x:v>
      </x:c>
      <x:c r="D366" s="33" t="str">
        <x:v>Liza argentea</x:v>
      </x:c>
      <x:c r="E366" s="59" t="n">
        <x:v>5.39</x:v>
      </x:c>
      <x:c r="F366" s="59"/>
      <x:c r="G366" s="59" t="str">
        <x:f>IF(F366="","",F366-E366)</x:f>
      </x:c>
      <x:c r="H366" s="59" t="str">
        <x:f>IF(G366="","",ABS(G366))</x:f>
      </x:c>
      <x:c r="I366" s="60" t="str">
        <x:f>IF(G366="","",ABS(G366/E366)*100)</x:f>
      </x:c>
      <x:c r="J366" s="33" t="str">
        <x:v>Liza</x:v>
      </x:c>
      <x:c r="K366" s="33" t="str">
        <x:v>Mugilidae</x:v>
      </x:c>
      <x:c r="L366" s="33" t="str">
        <x:v>Estuarine/coastal fishes</x:v>
      </x:c>
      <x:c r="M366" s="33" t="str">
        <x:v>Teleostei</x:v>
      </x:c>
    </x:row>
    <x:row r="367">
      <x:c r="A367" s="33" t="str">
        <x:v>Ecological proxy</x:v>
      </x:c>
      <x:c r="B367" s="33" t="str">
        <x:v>Family</x:v>
      </x:c>
      <x:c r="C367" s="33" t="str">
        <x:v>Gerreidae</x:v>
      </x:c>
      <x:c r="D367" s="33" t="str">
        <x:v>Gerres subfasciatus</x:v>
      </x:c>
      <x:c r="E367" s="59" t="n">
        <x:v>5.2</x:v>
      </x:c>
      <x:c r="F367" s="59" t="n">
        <x:v>5</x:v>
      </x:c>
      <x:c r="G367" s="59" t="n">
        <x:f>IF(F367="","",F367-E367)</x:f>
        <x:v>-0.20000000000000018</x:v>
      </x:c>
      <x:c r="H367" s="59" t="n">
        <x:f>IF(G367="","",ABS(G367))</x:f>
        <x:v>0.20000000000000018</x:v>
      </x:c>
      <x:c r="I367" s="60" t="n">
        <x:f>IF(G367="","",ABS(G367/E367)*100)</x:f>
        <x:v>3.8461538461538494</x:v>
      </x:c>
      <x:c r="J367" s="33" t="str">
        <x:v>Gerres</x:v>
      </x:c>
      <x:c r="K367" s="33" t="str">
        <x:v>Gerreidae</x:v>
      </x:c>
      <x:c r="L367" s="33" t="str">
        <x:v>Other demersal fishes</x:v>
      </x:c>
      <x:c r="M367" s="33" t="str">
        <x:v>Teleostei</x:v>
      </x:c>
    </x:row>
    <x:row r="368">
      <x:c r="A368" s="33" t="str">
        <x:v>Ecological proxy</x:v>
      </x:c>
      <x:c r="B368" s="33" t="str">
        <x:v>Family</x:v>
      </x:c>
      <x:c r="C368" s="33" t="str">
        <x:v>Sillaginidae</x:v>
      </x:c>
      <x:c r="D368" s="33" t="str">
        <x:v>Sillago ciliata</x:v>
      </x:c>
      <x:c r="E368" s="59" t="n">
        <x:v>5.02</x:v>
      </x:c>
      <x:c r="F368" s="59" t="n">
        <x:v>5</x:v>
      </x:c>
      <x:c r="G368" s="59" t="n">
        <x:f>IF(F368="","",F368-E368)</x:f>
        <x:v>-0.019999999999999574</x:v>
      </x:c>
      <x:c r="H368" s="59" t="n">
        <x:f>IF(G368="","",ABS(G368))</x:f>
        <x:v>0.019999999999999574</x:v>
      </x:c>
      <x:c r="I368" s="60" t="n">
        <x:f>IF(G368="","",ABS(G368/E368)*100)</x:f>
        <x:v>0.39840637450198363</x:v>
      </x:c>
      <x:c r="J368" s="33" t="str">
        <x:v>Sillago</x:v>
      </x:c>
      <x:c r="K368" s="33" t="str">
        <x:v>Sillaginidae</x:v>
      </x:c>
      <x:c r="L368" s="33" t="str">
        <x:v>Other demersal fishes</x:v>
      </x:c>
      <x:c r="M368" s="33" t="str">
        <x:v>Teleostei</x:v>
      </x:c>
    </x:row>
    <x:row r="369">
      <x:c r="A369" s="33" t="str">
        <x:v>Ecological proxy</x:v>
      </x:c>
      <x:c r="B369" s="33" t="str">
        <x:v>Family</x:v>
      </x:c>
      <x:c r="C369" s="33" t="str">
        <x:v>Penaeidae</x:v>
      </x:c>
      <x:c r="D369" s="33" t="str">
        <x:v>Metapenaeus macleayi</x:v>
      </x:c>
      <x:c r="E369" s="59" t="n">
        <x:v>3.84</x:v>
      </x:c>
      <x:c r="F369" s="59" t="n">
        <x:v>4.1</x:v>
      </x:c>
      <x:c r="G369" s="59" t="n">
        <x:f>IF(F369="","",F369-E369)</x:f>
        <x:v>0.2599999999999998</x:v>
      </x:c>
      <x:c r="H369" s="59" t="n">
        <x:f>IF(G369="","",ABS(G369))</x:f>
        <x:v>0.2599999999999998</x:v>
      </x:c>
      <x:c r="I369" s="60" t="n">
        <x:f>IF(G369="","",ABS(G369/E369)*100)</x:f>
        <x:v>6.770833333333329</x:v>
      </x:c>
      <x:c r="J369" s="33" t="str">
        <x:v>Metapenaeus</x:v>
      </x:c>
      <x:c r="K369" s="33" t="str">
        <x:v>Penaeidae</x:v>
      </x:c>
      <x:c r="L369" s="33" t="str">
        <x:v>Decapods (ecology unspecified)</x:v>
      </x:c>
      <x:c r="M369" s="33" t="str">
        <x:v>Crustacea</x:v>
      </x:c>
    </x:row>
    <x:row r="370">
      <x:c r="A370" s="33" t="str">
        <x:v>Ecological proxy</x:v>
      </x:c>
      <x:c r="B370" s="33" t="str">
        <x:v>Family</x:v>
      </x:c>
      <x:c r="C370" s="33" t="str">
        <x:v>Euphausiidae</x:v>
      </x:c>
      <x:c r="D370" s="33" t="str">
        <x:v>Euphausia superba</x:v>
      </x:c>
      <x:c r="E370" s="59" t="n">
        <x:v>3.73</x:v>
      </x:c>
      <x:c r="F370" s="59" t="n">
        <x:v>4.22</x:v>
      </x:c>
      <x:c r="G370" s="59" t="n">
        <x:f>IF(F370="","",F370-E370)</x:f>
        <x:v>0.48999999999999977</x:v>
      </x:c>
      <x:c r="H370" s="59" t="n">
        <x:f>IF(G370="","",ABS(G370))</x:f>
        <x:v>0.48999999999999977</x:v>
      </x:c>
      <x:c r="I370" s="60" t="n">
        <x:f>IF(G370="","",ABS(G370/E370)*100)</x:f>
        <x:v>13.136729222520103</x:v>
      </x:c>
      <x:c r="J370" s="33" t="str">
        <x:v>Euphausia</x:v>
      </x:c>
      <x:c r="K370" s="33" t="str">
        <x:v>Euphausiidae</x:v>
      </x:c>
      <x:c r="L370" s="33" t="str">
        <x:v>Pelagic planktonic euphausiids</x:v>
      </x:c>
      <x:c r="M370" s="33" t="str">
        <x:v>Crustacea</x:v>
      </x:c>
    </x:row>
    <x:row r="371">
      <x:c r="A371" s="33" t="str">
        <x:v>Ecological proxy</x:v>
      </x:c>
      <x:c r="B371" s="33" t="str">
        <x:v>Family</x:v>
      </x:c>
      <x:c r="C371" s="33" t="str">
        <x:v>Ommastrephidae</x:v>
      </x:c>
      <x:c r="D371" s="33" t="str">
        <x:v>Dosidicus gigas</x:v>
      </x:c>
      <x:c r="E371" s="59" t="n">
        <x:v>4.22</x:v>
      </x:c>
      <x:c r="F371" s="59" t="n">
        <x:v>3.81</x:v>
      </x:c>
      <x:c r="G371" s="59" t="n">
        <x:f>IF(F371="","",F371-E371)</x:f>
        <x:v>-0.4099999999999997</x:v>
      </x:c>
      <x:c r="H371" s="59" t="n">
        <x:f>IF(G371="","",ABS(G371))</x:f>
        <x:v>0.4099999999999997</x:v>
      </x:c>
      <x:c r="I371" s="60" t="n">
        <x:f>IF(G371="","",ABS(G371/E371)*100)</x:f>
        <x:v>9.715639810426534</x:v>
      </x:c>
      <x:c r="J371" s="33" t="str">
        <x:v>Dosidicus</x:v>
      </x:c>
      <x:c r="K371" s="33" t="str">
        <x:v>Ommastrephidae</x:v>
      </x:c>
      <x:c r="L371" s="33" t="str">
        <x:v>Pelagic squids</x:v>
      </x:c>
      <x:c r="M371" s="33" t="str">
        <x:v>Cephalopoda</x:v>
      </x:c>
    </x:row>
    <x:row r="372">
      <x:c r="A372" s="33" t="str">
        <x:v>Ecological proxy</x:v>
      </x:c>
      <x:c r="B372" s="33" t="str">
        <x:v>Family</x:v>
      </x:c>
      <x:c r="C372" s="33" t="str">
        <x:v>Ommastrephidae</x:v>
      </x:c>
      <x:c r="D372" s="33" t="str">
        <x:v>Symplectoteuthis ovalaniensis</x:v>
      </x:c>
      <x:c r="E372" s="59" t="n">
        <x:v>5.59</x:v>
      </x:c>
      <x:c r="F372" s="59" t="n">
        <x:v>3.81</x:v>
      </x:c>
      <x:c r="G372" s="59" t="n">
        <x:f>IF(F372="","",F372-E372)</x:f>
        <x:v>-1.7799999999999998</x:v>
      </x:c>
      <x:c r="H372" s="59" t="n">
        <x:f>IF(G372="","",ABS(G372))</x:f>
        <x:v>1.7799999999999998</x:v>
      </x:c>
      <x:c r="I372" s="60" t="n">
        <x:f>IF(G372="","",ABS(G372/E372)*100)</x:f>
        <x:v>31.84257602862254</x:v>
      </x:c>
      <x:c r="J372" s="33" t="str">
        <x:v>Symplectoteuthis</x:v>
      </x:c>
      <x:c r="K372" s="33" t="str">
        <x:v>Ommastrephidae</x:v>
      </x:c>
      <x:c r="L372" s="33" t="str">
        <x:v>Pelagic squids</x:v>
      </x:c>
      <x:c r="M372" s="33" t="str">
        <x:v>Cephalopoda</x:v>
      </x:c>
    </x:row>
    <x:row r="373">
      <x:c r="A373" s="33" t="str">
        <x:v>Ecological proxy</x:v>
      </x:c>
      <x:c r="B373" s="33" t="str">
        <x:v>Family</x:v>
      </x:c>
      <x:c r="C373" s="33" t="str">
        <x:v>Cardiidae</x:v>
      </x:c>
      <x:c r="D373" s="33" t="str">
        <x:v>Clinocardium ciliatum</x:v>
      </x:c>
      <x:c r="E373" s="59" t="n">
        <x:v>1.57</x:v>
      </x:c>
      <x:c r="F373" s="59" t="n">
        <x:v>2.15</x:v>
      </x:c>
      <x:c r="G373" s="59" t="n">
        <x:f>IF(F373="","",F373-E373)</x:f>
        <x:v>0.5799999999999998</x:v>
      </x:c>
      <x:c r="H373" s="59" t="n">
        <x:f>IF(G373="","",ABS(G373))</x:f>
        <x:v>0.5799999999999998</x:v>
      </x:c>
      <x:c r="I373" s="60" t="n">
        <x:f>IF(G373="","",ABS(G373/E373)*100)</x:f>
        <x:v>36.942675159235655</x:v>
      </x:c>
      <x:c r="J373" s="33" t="str">
        <x:v>Clinocardium</x:v>
      </x:c>
      <x:c r="K373" s="33" t="str">
        <x:v>Cardiidae</x:v>
      </x:c>
      <x:c r="L373" s="33" t="str">
        <x:v>Benthic bivalves</x:v>
      </x:c>
      <x:c r="M373" s="33" t="str">
        <x:v>Mollusca (non-cephalopods)</x:v>
      </x:c>
    </x:row>
    <x:row r="374">
      <x:c r="A374" s="33" t="str">
        <x:v>Ecological proxy</x:v>
      </x:c>
      <x:c r="B374" s="33" t="str">
        <x:v>Family</x:v>
      </x:c>
      <x:c r="C374" s="33" t="str">
        <x:v>Yoldiidae</x:v>
      </x:c>
      <x:c r="D374" s="33" t="str">
        <x:v>Yoldia sapotilla</x:v>
      </x:c>
      <x:c r="E374" s="59" t="n">
        <x:v>2.88</x:v>
      </x:c>
      <x:c r="F374" s="59" t="n">
        <x:v>1.8599999999999999</x:v>
      </x:c>
      <x:c r="G374" s="59" t="n">
        <x:f>IF(F374="","",F374-E374)</x:f>
        <x:v>-1.02</x:v>
      </x:c>
      <x:c r="H374" s="59" t="n">
        <x:f>IF(G374="","",ABS(G374))</x:f>
        <x:v>1.02</x:v>
      </x:c>
      <x:c r="I374" s="60" t="n">
        <x:f>IF(G374="","",ABS(G374/E374)*100)</x:f>
        <x:v>35.41666666666667</x:v>
      </x:c>
      <x:c r="J374" s="33" t="str">
        <x:v>Yoldia</x:v>
      </x:c>
      <x:c r="K374" s="33" t="str">
        <x:v>Yoldiidae</x:v>
      </x:c>
      <x:c r="L374" s="33" t="str">
        <x:v>Benthic bivalves</x:v>
      </x:c>
      <x:c r="M374" s="33" t="str">
        <x:v>Mollusca (non-cephalopods)</x:v>
      </x:c>
    </x:row>
    <x:row r="375">
      <x:c r="A375" s="33" t="str">
        <x:v>Ecological proxy</x:v>
      </x:c>
      <x:c r="B375" s="33" t="str">
        <x:v>Family</x:v>
      </x:c>
      <x:c r="C375" s="33" t="str">
        <x:v>Yoldiidae</x:v>
      </x:c>
      <x:c r="D375" s="33" t="str">
        <x:v>Yoldia thraciaeformis</x:v>
      </x:c>
      <x:c r="E375" s="59" t="n">
        <x:v>2.13</x:v>
      </x:c>
      <x:c r="F375" s="59" t="n">
        <x:v>1.8599999999999999</x:v>
      </x:c>
      <x:c r="G375" s="59" t="n">
        <x:f>IF(F375="","",F375-E375)</x:f>
        <x:v>-0.27</x:v>
      </x:c>
      <x:c r="H375" s="59" t="n">
        <x:f>IF(G375="","",ABS(G375))</x:f>
        <x:v>0.27</x:v>
      </x:c>
      <x:c r="I375" s="60" t="n">
        <x:f>IF(G375="","",ABS(G375/E375)*100)</x:f>
        <x:v>12.676056338028172</x:v>
      </x:c>
      <x:c r="J375" s="33" t="str">
        <x:v>Yoldia</x:v>
      </x:c>
      <x:c r="K375" s="33" t="str">
        <x:v>Yoldiidae</x:v>
      </x:c>
      <x:c r="L375" s="33" t="str">
        <x:v>Benthic bivalves</x:v>
      </x:c>
      <x:c r="M375" s="33" t="str">
        <x:v>Mollusca (non-cephalopods)</x:v>
      </x:c>
    </x:row>
    <x:row r="376">
      <x:c r="A376" s="33" t="str">
        <x:v>Ecological proxy</x:v>
      </x:c>
      <x:c r="B376" s="33" t="str">
        <x:v>Family</x:v>
      </x:c>
      <x:c r="C376" s="33" t="str">
        <x:v>Aphroditidae</x:v>
      </x:c>
      <x:c r="D376" s="33" t="str">
        <x:v>Aphrodita hastata</x:v>
      </x:c>
      <x:c r="E376" s="59" t="n">
        <x:v>2.03</x:v>
      </x:c>
      <x:c r="F376" s="59" t="n">
        <x:v>2.045</x:v>
      </x:c>
      <x:c r="G376" s="59" t="n">
        <x:f>IF(F376="","",F376-E376)</x:f>
        <x:v>0.015000000000000124</x:v>
      </x:c>
      <x:c r="H376" s="59" t="n">
        <x:f>IF(G376="","",ABS(G376))</x:f>
        <x:v>0.015000000000000124</x:v>
      </x:c>
      <x:c r="I376" s="60" t="n">
        <x:f>IF(G376="","",ABS(G376/E376)*100)</x:f>
        <x:v>0.7389162561576417</x:v>
      </x:c>
      <x:c r="J376" s="33" t="str">
        <x:v>Aphrodita</x:v>
      </x:c>
      <x:c r="K376" s="33" t="str">
        <x:v>Aphroditidae</x:v>
      </x:c>
      <x:c r="L376" s="33" t="str">
        <x:v>Other benthic polychaetes</x:v>
      </x:c>
      <x:c r="M376" s="33" t="str">
        <x:v>Annelida</x:v>
      </x:c>
    </x:row>
    <x:row r="377">
      <x:c r="A377" s="33" t="str">
        <x:v>Ecological proxy</x:v>
      </x:c>
      <x:c r="B377" s="33" t="str">
        <x:v>Family</x:v>
      </x:c>
      <x:c r="C377" s="33"/>
      <x:c r="D377" s="33" t="str">
        <x:v>Luabrinereis fragilis</x:v>
      </x:c>
      <x:c r="E377" s="59" t="n">
        <x:v>4.43</x:v>
      </x:c>
      <x:c r="F377" s="59" t="n">
        <x:v>1.0550000000000002</x:v>
      </x:c>
      <x:c r="G377" s="59" t="n">
        <x:f>IF(F377="","",F377-E377)</x:f>
        <x:v>-3.3749999999999996</x:v>
      </x:c>
      <x:c r="H377" s="59" t="n">
        <x:f>IF(G377="","",ABS(G377))</x:f>
        <x:v>3.3749999999999996</x:v>
      </x:c>
      <x:c r="I377" s="60" t="n">
        <x:f>IF(G377="","",ABS(G377/E377)*100)</x:f>
        <x:v>76.18510158013544</x:v>
      </x:c>
      <x:c r="J377" s="33" t="str">
        <x:v>Luabrinereis</x:v>
      </x:c>
      <x:c r="K377" s="33"/>
      <x:c r="L377" s="33" t="str">
        <x:v>Other benthic polychaetes</x:v>
      </x:c>
      <x:c r="M377" s="33" t="str">
        <x:v>Annelida</x:v>
      </x:c>
    </x:row>
    <x:row r="378">
      <x:c r="A378" s="33" t="str">
        <x:v>Ecological proxy</x:v>
      </x:c>
      <x:c r="B378" s="33" t="str">
        <x:v>Family</x:v>
      </x:c>
      <x:c r="C378" s="33"/>
      <x:c r="D378" s="33" t="str">
        <x:v>Nethys ciliata</x:v>
      </x:c>
      <x:c r="E378" s="59" t="n">
        <x:v>3.13</x:v>
      </x:c>
      <x:c r="F378" s="59" t="n">
        <x:v>1.0550000000000002</x:v>
      </x:c>
      <x:c r="G378" s="59" t="n">
        <x:f>IF(F378="","",F378-E378)</x:f>
        <x:v>-2.0749999999999997</x:v>
      </x:c>
      <x:c r="H378" s="59" t="n">
        <x:f>IF(G378="","",ABS(G378))</x:f>
        <x:v>2.0749999999999997</x:v>
      </x:c>
      <x:c r="I378" s="60" t="n">
        <x:f>IF(G378="","",ABS(G378/E378)*100)</x:f>
        <x:v>66.29392971246006</x:v>
      </x:c>
      <x:c r="J378" s="33" t="str">
        <x:v>Nethys</x:v>
      </x:c>
      <x:c r="K378" s="33"/>
      <x:c r="L378" s="33" t="str">
        <x:v>Other benthic polychaetes</x:v>
      </x:c>
      <x:c r="M378" s="33" t="str">
        <x:v>Annelida</x:v>
      </x:c>
    </x:row>
    <x:row r="379">
      <x:c r="A379" s="33" t="str">
        <x:v>Ecological proxy</x:v>
      </x:c>
      <x:c r="B379" s="33" t="str">
        <x:v>Family</x:v>
      </x:c>
      <x:c r="C379" s="33" t="str">
        <x:v>Osmeridae</x:v>
      </x:c>
      <x:c r="D379" s="33" t="str">
        <x:v>Mallotus villosus</x:v>
      </x:c>
      <x:c r="E379" s="59" t="n">
        <x:v>7.03</x:v>
      </x:c>
      <x:c r="F379" s="59" t="n">
        <x:v>6.62</x:v>
      </x:c>
      <x:c r="G379" s="59" t="n">
        <x:f>IF(F379="","",F379-E379)</x:f>
        <x:v>-0.41000000000000014</x:v>
      </x:c>
      <x:c r="H379" s="59" t="n">
        <x:f>IF(G379="","",ABS(G379))</x:f>
        <x:v>0.41000000000000014</x:v>
      </x:c>
      <x:c r="I379" s="60" t="n">
        <x:f>IF(G379="","",ABS(G379/E379)*100)</x:f>
        <x:v>5.832147937411097</x:v>
      </x:c>
      <x:c r="J379" s="33" t="str">
        <x:v>Mallotus</x:v>
      </x:c>
      <x:c r="K379" s="33" t="str">
        <x:v>Osmeridae</x:v>
      </x:c>
      <x:c r="L379" s="33" t="str">
        <x:v>Small pelagic forage fishes</x:v>
      </x:c>
      <x:c r="M379" s="33" t="str">
        <x:v>Teleostei</x:v>
      </x:c>
    </x:row>
    <x:row r="380">
      <x:c r="A380" s="33" t="str">
        <x:v>Ecological proxy</x:v>
      </x:c>
      <x:c r="B380" s="33" t="str">
        <x:v>Family</x:v>
      </x:c>
      <x:c r="C380" s="33" t="str">
        <x:v>Osmeridae</x:v>
      </x:c>
      <x:c r="D380" s="33" t="str">
        <x:v>Thaleichthys pacificus</x:v>
      </x:c>
      <x:c r="E380" s="59" t="n">
        <x:v>11.05</x:v>
      </x:c>
      <x:c r="F380" s="59" t="n">
        <x:v>6.62</x:v>
      </x:c>
      <x:c r="G380" s="59" t="n">
        <x:f>IF(F380="","",F380-E380)</x:f>
        <x:v>-4.430000000000001</x:v>
      </x:c>
      <x:c r="H380" s="59" t="n">
        <x:f>IF(G380="","",ABS(G380))</x:f>
        <x:v>4.430000000000001</x:v>
      </x:c>
      <x:c r="I380" s="60" t="n">
        <x:f>IF(G380="","",ABS(G380/E380)*100)</x:f>
        <x:v>40.09049773755656</x:v>
      </x:c>
      <x:c r="J380" s="33" t="str">
        <x:v>Thaleichthys</x:v>
      </x:c>
      <x:c r="K380" s="33" t="str">
        <x:v>Osmeridae</x:v>
      </x:c>
      <x:c r="L380" s="33" t="str">
        <x:v>Small pelagic forage fishes</x:v>
      </x:c>
      <x:c r="M380" s="33" t="str">
        <x:v>Teleostei</x:v>
      </x:c>
    </x:row>
    <x:row r="381">
      <x:c r="A381" s="33" t="str">
        <x:v>Ecological proxy</x:v>
      </x:c>
      <x:c r="B381" s="33" t="str">
        <x:v>Family</x:v>
      </x:c>
      <x:c r="C381" s="33" t="str">
        <x:v>Ammodytidae</x:v>
      </x:c>
      <x:c r="D381" s="33" t="str">
        <x:v>Ammodytes hexapterus</x:v>
      </x:c>
      <x:c r="E381" s="59" t="n">
        <x:v>4.95</x:v>
      </x:c>
      <x:c r="F381" s="59" t="n">
        <x:v>6.9025</x:v>
      </x:c>
      <x:c r="G381" s="59" t="n">
        <x:f>IF(F381="","",F381-E381)</x:f>
        <x:v>1.9524999999999997</x:v>
      </x:c>
      <x:c r="H381" s="59" t="n">
        <x:f>IF(G381="","",ABS(G381))</x:f>
        <x:v>1.9524999999999997</x:v>
      </x:c>
      <x:c r="I381" s="60" t="n">
        <x:f>IF(G381="","",ABS(G381/E381)*100)</x:f>
        <x:v>39.444444444444436</x:v>
      </x:c>
      <x:c r="J381" s="33" t="str">
        <x:v>Ammodytes</x:v>
      </x:c>
      <x:c r="K381" s="33" t="str">
        <x:v>Ammodytidae</x:v>
      </x:c>
      <x:c r="L381" s="33" t="str">
        <x:v>Small pelagic forage fishes</x:v>
      </x:c>
      <x:c r="M381" s="33" t="str">
        <x:v>Teleostei</x:v>
      </x:c>
    </x:row>
    <x:row r="382">
      <x:c r="A382" s="33" t="str">
        <x:v>Ecological proxy</x:v>
      </x:c>
      <x:c r="B382" s="33" t="str">
        <x:v>Family</x:v>
      </x:c>
      <x:c r="C382" s="33" t="str">
        <x:v>Scomberesocidae</x:v>
      </x:c>
      <x:c r="D382" s="33" t="str">
        <x:v>Cololabis saira</x:v>
      </x:c>
      <x:c r="E382" s="59" t="n">
        <x:v>7</x:v>
      </x:c>
      <x:c r="F382" s="59" t="n">
        <x:v>6.74</x:v>
      </x:c>
      <x:c r="G382" s="59" t="n">
        <x:f>IF(F382="","",F382-E382)</x:f>
        <x:v>-0.2599999999999998</x:v>
      </x:c>
      <x:c r="H382" s="59" t="n">
        <x:f>IF(G382="","",ABS(G382))</x:f>
        <x:v>0.2599999999999998</x:v>
      </x:c>
      <x:c r="I382" s="60" t="n">
        <x:f>IF(G382="","",ABS(G382/E382)*100)</x:f>
        <x:v>3.714285714285711</x:v>
      </x:c>
      <x:c r="J382" s="33" t="str">
        <x:v>Cololabis</x:v>
      </x:c>
      <x:c r="K382" s="33" t="str">
        <x:v>Scomberesocidae</x:v>
      </x:c>
      <x:c r="L382" s="33" t="str">
        <x:v>Small pelagic forage fishes</x:v>
      </x:c>
      <x:c r="M382" s="33" t="str">
        <x:v>Teleostei</x:v>
      </x:c>
    </x:row>
    <x:row r="383">
      <x:c r="A383" s="33" t="str">
        <x:v>Ecological proxy</x:v>
      </x:c>
      <x:c r="B383" s="33" t="str">
        <x:v>Family</x:v>
      </x:c>
      <x:c r="C383" s="33" t="str">
        <x:v>Clupeidae</x:v>
      </x:c>
      <x:c r="D383" s="33" t="str">
        <x:v>Clupea pallasii</x:v>
      </x:c>
      <x:c r="E383" s="59" t="n">
        <x:v>7</x:v>
      </x:c>
      <x:c r="F383" s="59" t="n">
        <x:v>6</x:v>
      </x:c>
      <x:c r="G383" s="59" t="n">
        <x:f>IF(F383="","",F383-E383)</x:f>
        <x:v>-1</x:v>
      </x:c>
      <x:c r="H383" s="59" t="n">
        <x:f>IF(G383="","",ABS(G383))</x:f>
        <x:v>1</x:v>
      </x:c>
      <x:c r="I383" s="60" t="n">
        <x:f>IF(G383="","",ABS(G383/E383)*100)</x:f>
        <x:v>14.285714285714285</x:v>
      </x:c>
      <x:c r="J383" s="33" t="str">
        <x:v>Clupea</x:v>
      </x:c>
      <x:c r="K383" s="33" t="str">
        <x:v>Clupeidae</x:v>
      </x:c>
      <x:c r="L383" s="33" t="str">
        <x:v>Small pelagic forage fishes</x:v>
      </x:c>
      <x:c r="M383" s="33" t="str">
        <x:v>Teleostei</x:v>
      </x:c>
    </x:row>
    <x:row r="384">
      <x:c r="A384" s="33" t="str">
        <x:v>Ecological proxy</x:v>
      </x:c>
      <x:c r="B384" s="33" t="str">
        <x:v>Family</x:v>
      </x:c>
      <x:c r="C384" s="33" t="str">
        <x:v>Hexagrammidae</x:v>
      </x:c>
      <x:c r="D384" s="33" t="str">
        <x:v>Pleurogrammus monopterygius</x:v>
      </x:c>
      <x:c r="E384" s="59" t="n">
        <x:v>4.02</x:v>
      </x:c>
      <x:c r="F384" s="59" t="n">
        <x:v>5.06</x:v>
      </x:c>
      <x:c r="G384" s="59" t="n">
        <x:f>IF(F384="","",F384-E384)</x:f>
        <x:v>1.04</x:v>
      </x:c>
      <x:c r="H384" s="59" t="n">
        <x:f>IF(G384="","",ABS(G384))</x:f>
        <x:v>1.04</x:v>
      </x:c>
      <x:c r="I384" s="60" t="n">
        <x:f>IF(G384="","",ABS(G384/E384)*100)</x:f>
        <x:v>25.87064676616916</x:v>
      </x:c>
      <x:c r="J384" s="33" t="str">
        <x:v>Pleurogrammus</x:v>
      </x:c>
      <x:c r="K384" s="33" t="str">
        <x:v>Hexagrammidae</x:v>
      </x:c>
      <x:c r="L384" s="33" t="str">
        <x:v>Other demersal fishes</x:v>
      </x:c>
      <x:c r="M384" s="33" t="str">
        <x:v>Teleostei</x:v>
      </x:c>
    </x:row>
    <x:row r="385">
      <x:c r="A385" s="33" t="str">
        <x:v>Ecological proxy</x:v>
      </x:c>
      <x:c r="B385" s="33" t="str">
        <x:v>Family</x:v>
      </x:c>
      <x:c r="C385" s="33" t="str">
        <x:v>Hexagrammidae</x:v>
      </x:c>
      <x:c r="D385" s="33" t="str">
        <x:v>Ophiodon elongatus</x:v>
      </x:c>
      <x:c r="E385" s="59" t="n">
        <x:v>3.98</x:v>
      </x:c>
      <x:c r="F385" s="59" t="n">
        <x:v>5.06</x:v>
      </x:c>
      <x:c r="G385" s="59" t="n">
        <x:f>IF(F385="","",F385-E385)</x:f>
        <x:v>1.0799999999999996</x:v>
      </x:c>
      <x:c r="H385" s="59" t="n">
        <x:f>IF(G385="","",ABS(G385))</x:f>
        <x:v>1.0799999999999996</x:v>
      </x:c>
      <x:c r="I385" s="60" t="n">
        <x:f>IF(G385="","",ABS(G385/E385)*100)</x:f>
        <x:v>27.13567839195979</x:v>
      </x:c>
      <x:c r="J385" s="33" t="str">
        <x:v>Ophiodon</x:v>
      </x:c>
      <x:c r="K385" s="33" t="str">
        <x:v>Hexagrammidae</x:v>
      </x:c>
      <x:c r="L385" s="33" t="str">
        <x:v>Other demersal fishes</x:v>
      </x:c>
      <x:c r="M385" s="33" t="str">
        <x:v>Teleostei</x:v>
      </x:c>
    </x:row>
    <x:row r="386">
      <x:c r="A386" s="33" t="str">
        <x:v>Broad group</x:v>
      </x:c>
      <x:c r="B386" s="33" t="str">
        <x:v>Ecological proxy</x:v>
      </x:c>
      <x:c r="C386" s="33" t="str">
        <x:v>Gelatinous zooplankton - cnidarians</x:v>
      </x:c>
      <x:c r="D386" s="33" t="str">
        <x:v>Aurelia aurita</x:v>
      </x:c>
      <x:c r="E386" s="59" t="n">
        <x:v>0.7</x:v>
      </x:c>
      <x:c r="F386" s="59"/>
      <x:c r="G386" s="59" t="str">
        <x:f>IF(F386="","",F386-E386)</x:f>
      </x:c>
      <x:c r="H386" s="59" t="str">
        <x:f>IF(G386="","",ABS(G386))</x:f>
      </x:c>
      <x:c r="I386" s="60" t="str">
        <x:f>IF(G386="","",ABS(G386/E386)*100)</x:f>
      </x:c>
      <x:c r="J386" s="33" t="str">
        <x:v>Aurelia</x:v>
      </x:c>
      <x:c r="K386" s="33" t="str">
        <x:v>Ulmaridae</x:v>
      </x:c>
      <x:c r="L386" s="33" t="str">
        <x:v>Gelatinous zooplankton - cnidarians</x:v>
      </x:c>
      <x:c r="M386" s="33" t="str">
        <x:v>Cnidaria</x:v>
      </x:c>
    </x:row>
    <x:row r="387">
      <x:c r="A387" s="33" t="str">
        <x:v>Broad group</x:v>
      </x:c>
      <x:c r="B387" s="33" t="str">
        <x:v>Ecological proxy</x:v>
      </x:c>
      <x:c r="C387" s="33" t="str">
        <x:v>Pelagic planktonic euphausiids</x:v>
      </x:c>
      <x:c r="D387" s="33" t="str">
        <x:v>Meganyctiphanes norvegica</x:v>
      </x:c>
      <x:c r="E387" s="59" t="n">
        <x:v>3.9</x:v>
      </x:c>
      <x:c r="F387" s="59" t="n">
        <x:v>4.1</x:v>
      </x:c>
      <x:c r="G387" s="59" t="n">
        <x:f>IF(F387="","",F387-E387)</x:f>
        <x:v>0.19999999999999973</x:v>
      </x:c>
      <x:c r="H387" s="59" t="n">
        <x:f>IF(G387="","",ABS(G387))</x:f>
        <x:v>0.19999999999999973</x:v>
      </x:c>
      <x:c r="I387" s="60" t="n">
        <x:f>IF(G387="","",ABS(G387/E387)*100)</x:f>
        <x:v>5.1282051282051215</x:v>
      </x:c>
      <x:c r="J387" s="33" t="str">
        <x:v>Meganyctiphanes</x:v>
      </x:c>
      <x:c r="K387" s="33" t="str">
        <x:v>Euphausiidae</x:v>
      </x:c>
      <x:c r="L387" s="33" t="str">
        <x:v>Pelagic planktonic euphausiids</x:v>
      </x:c>
      <x:c r="M387" s="33" t="str">
        <x:v>Crustacea</x:v>
      </x:c>
    </x:row>
    <x:row r="388">
      <x:c r="A388" s="33" t="str">
        <x:v>Broad group</x:v>
      </x:c>
      <x:c r="B388" s="33" t="str">
        <x:v>Ecological proxy</x:v>
      </x:c>
      <x:c r="C388" s="33" t="str">
        <x:v>Decapods (ecology unspecified)</x:v>
      </x:c>
      <x:c r="D388" s="33" t="str">
        <x:v>Acanthephyra purpurea</x:v>
      </x:c>
      <x:c r="E388" s="59" t="n">
        <x:v>5.3</x:v>
      </x:c>
      <x:c r="F388" s="59" t="n">
        <x:v>3.9</x:v>
      </x:c>
      <x:c r="G388" s="59" t="n">
        <x:f>IF(F388="","",F388-E388)</x:f>
        <x:v>-1.4</x:v>
      </x:c>
      <x:c r="H388" s="59" t="n">
        <x:f>IF(G388="","",ABS(G388))</x:f>
        <x:v>1.4</x:v>
      </x:c>
      <x:c r="I388" s="60" t="n">
        <x:f>IF(G388="","",ABS(G388/E388)*100)</x:f>
        <x:v>26.41509433962264</x:v>
      </x:c>
      <x:c r="J388" s="33" t="str">
        <x:v>Acanthephyra</x:v>
      </x:c>
      <x:c r="K388" s="33" t="str">
        <x:v>Oplophoridae</x:v>
      </x:c>
      <x:c r="L388" s="33" t="str">
        <x:v>Decapods (ecology unspecified)</x:v>
      </x:c>
      <x:c r="M388" s="33" t="str">
        <x:v>Crustacea</x:v>
      </x:c>
    </x:row>
    <x:row r="389">
      <x:c r="A389" s="33" t="str">
        <x:v>Broad group</x:v>
      </x:c>
      <x:c r="B389" s="33" t="str">
        <x:v>Ecological proxy</x:v>
      </x:c>
      <x:c r="C389" s="33" t="str">
        <x:v>Decapods (ecology unspecified)</x:v>
      </x:c>
      <x:c r="D389" s="33" t="str">
        <x:v>Palaemon longirostris</x:v>
      </x:c>
      <x:c r="E389" s="59" t="n">
        <x:v>3.4</x:v>
      </x:c>
      <x:c r="F389" s="59" t="n">
        <x:v>3.9</x:v>
      </x:c>
      <x:c r="G389" s="59" t="n">
        <x:f>IF(F389="","",F389-E389)</x:f>
        <x:v>0.5</x:v>
      </x:c>
      <x:c r="H389" s="59" t="n">
        <x:f>IF(G389="","",ABS(G389))</x:f>
        <x:v>0.5</x:v>
      </x:c>
      <x:c r="I389" s="60" t="n">
        <x:f>IF(G389="","",ABS(G389/E389)*100)</x:f>
        <x:v>14.705882352941178</x:v>
      </x:c>
      <x:c r="J389" s="33" t="str">
        <x:v>Palaemon</x:v>
      </x:c>
      <x:c r="K389" s="33" t="str">
        <x:v>Palaemonidae</x:v>
      </x:c>
      <x:c r="L389" s="33" t="str">
        <x:v>Decapods (ecology unspecified)</x:v>
      </x:c>
      <x:c r="M389" s="33" t="str">
        <x:v>Crustacea</x:v>
      </x:c>
    </x:row>
    <x:row r="390">
      <x:c r="A390" s="33" t="str">
        <x:v>Broad group</x:v>
      </x:c>
      <x:c r="B390" s="33" t="str">
        <x:v>Ecological proxy</x:v>
      </x:c>
      <x:c r="C390" s="33" t="str">
        <x:v>Decapods (ecology unspecified)</x:v>
      </x:c>
      <x:c r="D390" s="33" t="str">
        <x:v>Pasiphaea sivado</x:v>
      </x:c>
      <x:c r="E390" s="59" t="n">
        <x:v>4.1</x:v>
      </x:c>
      <x:c r="F390" s="59" t="n">
        <x:v>3.9</x:v>
      </x:c>
      <x:c r="G390" s="59" t="n">
        <x:f>IF(F390="","",F390-E390)</x:f>
        <x:v>-0.19999999999999973</x:v>
      </x:c>
      <x:c r="H390" s="59" t="n">
        <x:f>IF(G390="","",ABS(G390))</x:f>
        <x:v>0.19999999999999973</x:v>
      </x:c>
      <x:c r="I390" s="60" t="n">
        <x:f>IF(G390="","",ABS(G390/E390)*100)</x:f>
        <x:v>4.8780487804877986</x:v>
      </x:c>
      <x:c r="J390" s="33" t="str">
        <x:v>Pasiphaea</x:v>
      </x:c>
      <x:c r="K390" s="33" t="str">
        <x:v>Pasiphaeidae</x:v>
      </x:c>
      <x:c r="L390" s="33" t="str">
        <x:v>Decapods (ecology unspecified)</x:v>
      </x:c>
      <x:c r="M390" s="33" t="str">
        <x:v>Crustacea</x:v>
      </x:c>
    </x:row>
    <x:row r="391">
      <x:c r="A391" s="33" t="str">
        <x:v>Broad group</x:v>
      </x:c>
      <x:c r="B391" s="33" t="str">
        <x:v>Ecological proxy</x:v>
      </x:c>
      <x:c r="C391" s="33" t="str">
        <x:v>Benthic decapods</x:v>
      </x:c>
      <x:c r="D391" s="33" t="str">
        <x:v>Pachygrapsus marmoratus</x:v>
      </x:c>
      <x:c r="E391" s="59" t="n">
        <x:v>5.8</x:v>
      </x:c>
      <x:c r="F391" s="59" t="n">
        <x:v>3.87</x:v>
      </x:c>
      <x:c r="G391" s="59" t="n">
        <x:f>IF(F391="","",F391-E391)</x:f>
        <x:v>-1.9299999999999997</x:v>
      </x:c>
      <x:c r="H391" s="59" t="n">
        <x:f>IF(G391="","",ABS(G391))</x:f>
        <x:v>1.9299999999999997</x:v>
      </x:c>
      <x:c r="I391" s="60" t="n">
        <x:f>IF(G391="","",ABS(G391/E391)*100)</x:f>
        <x:v>33.27586206896551</x:v>
      </x:c>
      <x:c r="J391" s="33" t="str">
        <x:v>Pachygrapsus</x:v>
      </x:c>
      <x:c r="K391" s="33" t="str">
        <x:v>Grapsidae</x:v>
      </x:c>
      <x:c r="L391" s="33" t="str">
        <x:v>Benthic decapods</x:v>
      </x:c>
      <x:c r="M391" s="33" t="str">
        <x:v>Crustacea</x:v>
      </x:c>
    </x:row>
    <x:row r="392">
      <x:c r="A392" s="33" t="str">
        <x:v>Broad group</x:v>
      </x:c>
      <x:c r="B392" s="33" t="str">
        <x:v>Ecological proxy</x:v>
      </x:c>
      <x:c r="C392" s="33" t="str">
        <x:v>Benthic decapods</x:v>
      </x:c>
      <x:c r="D392" s="33" t="str">
        <x:v>Polybius henslowii</x:v>
      </x:c>
      <x:c r="E392" s="59" t="n">
        <x:v>4.2</x:v>
      </x:c>
      <x:c r="F392" s="59" t="n">
        <x:v>3.87</x:v>
      </x:c>
      <x:c r="G392" s="59" t="n">
        <x:f>IF(F392="","",F392-E392)</x:f>
        <x:v>-0.33000000000000007</x:v>
      </x:c>
      <x:c r="H392" s="59" t="n">
        <x:f>IF(G392="","",ABS(G392))</x:f>
        <x:v>0.33000000000000007</x:v>
      </x:c>
      <x:c r="I392" s="60" t="n">
        <x:f>IF(G392="","",ABS(G392/E392)*100)</x:f>
        <x:v>7.8571428571428585</x:v>
      </x:c>
      <x:c r="J392" s="33" t="str">
        <x:v>Polybius</x:v>
      </x:c>
      <x:c r="K392" s="33" t="str">
        <x:v>Portunidae</x:v>
      </x:c>
      <x:c r="L392" s="33" t="str">
        <x:v>Benthic decapods</x:v>
      </x:c>
      <x:c r="M392" s="33" t="str">
        <x:v>Crustacea</x:v>
      </x:c>
    </x:row>
    <x:row r="393">
      <x:c r="A393" s="33" t="str">
        <x:v>Broad group</x:v>
      </x:c>
      <x:c r="B393" s="33" t="str">
        <x:v>Ecological proxy</x:v>
      </x:c>
      <x:c r="C393" s="33" t="str">
        <x:v>Benthic decapods</x:v>
      </x:c>
      <x:c r="D393" s="33" t="str">
        <x:v>Necora puber</x:v>
      </x:c>
      <x:c r="E393" s="59" t="n">
        <x:v>6.9</x:v>
      </x:c>
      <x:c r="F393" s="59" t="n">
        <x:v>3.87</x:v>
      </x:c>
      <x:c r="G393" s="59" t="n">
        <x:f>IF(F393="","",F393-E393)</x:f>
        <x:v>-3.0300000000000002</x:v>
      </x:c>
      <x:c r="H393" s="59" t="n">
        <x:f>IF(G393="","",ABS(G393))</x:f>
        <x:v>3.0300000000000002</x:v>
      </x:c>
      <x:c r="I393" s="60" t="n">
        <x:f>IF(G393="","",ABS(G393/E393)*100)</x:f>
        <x:v>43.913043478260875</x:v>
      </x:c>
      <x:c r="J393" s="33" t="str">
        <x:v>Necora</x:v>
      </x:c>
      <x:c r="K393" s="33" t="str">
        <x:v>Portunidae</x:v>
      </x:c>
      <x:c r="L393" s="33" t="str">
        <x:v>Benthic decapods</x:v>
      </x:c>
      <x:c r="M393" s="33" t="str">
        <x:v>Crustacea</x:v>
      </x:c>
    </x:row>
    <x:row r="394">
      <x:c r="A394" s="33" t="str">
        <x:v>Broad group</x:v>
      </x:c>
      <x:c r="B394" s="33" t="str">
        <x:v>Ecological proxy</x:v>
      </x:c>
      <x:c r="C394" s="33" t="str">
        <x:v>Pelagic squids</x:v>
      </x:c>
      <x:c r="D394" s="33" t="str">
        <x:v>Loligo forbesi</x:v>
      </x:c>
      <x:c r="E394" s="59" t="n">
        <x:v>4.6</x:v>
      </x:c>
      <x:c r="F394" s="59" t="n">
        <x:v>4.25</x:v>
      </x:c>
      <x:c r="G394" s="59" t="n">
        <x:f>IF(F394="","",F394-E394)</x:f>
        <x:v>-0.34999999999999964</x:v>
      </x:c>
      <x:c r="H394" s="59" t="n">
        <x:f>IF(G394="","",ABS(G394))</x:f>
        <x:v>0.34999999999999964</x:v>
      </x:c>
      <x:c r="I394" s="60" t="n">
        <x:f>IF(G394="","",ABS(G394/E394)*100)</x:f>
        <x:v>7.608695652173907</x:v>
      </x:c>
      <x:c r="J394" s="33" t="str">
        <x:v>Loligo</x:v>
      </x:c>
      <x:c r="K394" s="33" t="str">
        <x:v>Loliginidae</x:v>
      </x:c>
      <x:c r="L394" s="33" t="str">
        <x:v>Pelagic squids</x:v>
      </x:c>
      <x:c r="M394" s="33" t="str">
        <x:v>Cephalopoda</x:v>
      </x:c>
    </x:row>
    <x:row r="395">
      <x:c r="A395" s="33" t="str">
        <x:v>Broad group</x:v>
      </x:c>
      <x:c r="B395" s="33" t="str">
        <x:v>Ecological proxy</x:v>
      </x:c>
      <x:c r="C395" s="33" t="str">
        <x:v>Pelagic squids</x:v>
      </x:c>
      <x:c r="D395" s="33" t="str">
        <x:v>Loligo vulgaris</x:v>
      </x:c>
      <x:c r="E395" s="59" t="n">
        <x:v>4.8</x:v>
      </x:c>
      <x:c r="F395" s="59" t="n">
        <x:v>4.25</x:v>
      </x:c>
      <x:c r="G395" s="59" t="n">
        <x:f>IF(F395="","",F395-E395)</x:f>
        <x:v>-0.5499999999999998</x:v>
      </x:c>
      <x:c r="H395" s="59" t="n">
        <x:f>IF(G395="","",ABS(G395))</x:f>
        <x:v>0.5499999999999998</x:v>
      </x:c>
      <x:c r="I395" s="60" t="n">
        <x:f>IF(G395="","",ABS(G395/E395)*100)</x:f>
        <x:v>11.45833333333333</x:v>
      </x:c>
      <x:c r="J395" s="33" t="str">
        <x:v>Loligo</x:v>
      </x:c>
      <x:c r="K395" s="33" t="str">
        <x:v>Loliginidae</x:v>
      </x:c>
      <x:c r="L395" s="33" t="str">
        <x:v>Pelagic squids</x:v>
      </x:c>
      <x:c r="M395" s="33" t="str">
        <x:v>Cephalopoda</x:v>
      </x:c>
    </x:row>
    <x:row r="396">
      <x:c r="A396" s="33" t="str">
        <x:v>Broad group</x:v>
      </x:c>
      <x:c r="B396" s="33" t="str">
        <x:v>Ecological proxy</x:v>
      </x:c>
      <x:c r="C396" s="33" t="str">
        <x:v>Pelagic squids</x:v>
      </x:c>
      <x:c r="D396" s="33" t="str">
        <x:v>Illex coindeti</x:v>
      </x:c>
      <x:c r="E396" s="59" t="n">
        <x:v>4.3</x:v>
      </x:c>
      <x:c r="F396" s="59" t="n">
        <x:v>4.25</x:v>
      </x:c>
      <x:c r="G396" s="59" t="n">
        <x:f>IF(F396="","",F396-E396)</x:f>
        <x:v>-0.04999999999999982</x:v>
      </x:c>
      <x:c r="H396" s="59" t="n">
        <x:f>IF(G396="","",ABS(G396))</x:f>
        <x:v>0.04999999999999982</x:v>
      </x:c>
      <x:c r="I396" s="60" t="n">
        <x:f>IF(G396="","",ABS(G396/E396)*100)</x:f>
        <x:v>1.1627906976744147</x:v>
      </x:c>
      <x:c r="J396" s="33" t="str">
        <x:v>Illex</x:v>
      </x:c>
      <x:c r="K396" s="33" t="str">
        <x:v>Ommastrephidae</x:v>
      </x:c>
      <x:c r="L396" s="33" t="str">
        <x:v>Pelagic squids</x:v>
      </x:c>
      <x:c r="M396" s="33" t="str">
        <x:v>Cephalopoda</x:v>
      </x:c>
    </x:row>
    <x:row r="397">
      <x:c r="A397" s="33" t="str">
        <x:v>Broad group</x:v>
      </x:c>
      <x:c r="B397" s="33" t="str">
        <x:v>Ecological proxy</x:v>
      </x:c>
      <x:c r="C397" s="33" t="str">
        <x:v>Pelagic squids</x:v>
      </x:c>
      <x:c r="D397" s="33" t="str">
        <x:v>Todaropsis eblanae</x:v>
      </x:c>
      <x:c r="E397" s="59" t="n">
        <x:v>4.4</x:v>
      </x:c>
      <x:c r="F397" s="59" t="n">
        <x:v>4.25</x:v>
      </x:c>
      <x:c r="G397" s="59" t="n">
        <x:f>IF(F397="","",F397-E397)</x:f>
        <x:v>-0.15000000000000036</x:v>
      </x:c>
      <x:c r="H397" s="59" t="n">
        <x:f>IF(G397="","",ABS(G397))</x:f>
        <x:v>0.15000000000000036</x:v>
      </x:c>
      <x:c r="I397" s="60" t="n">
        <x:f>IF(G397="","",ABS(G397/E397)*100)</x:f>
        <x:v>3.409090909090917</x:v>
      </x:c>
      <x:c r="J397" s="33" t="str">
        <x:v>Todaropsis</x:v>
      </x:c>
      <x:c r="K397" s="33" t="str">
        <x:v>Ommastrephidae</x:v>
      </x:c>
      <x:c r="L397" s="33" t="str">
        <x:v>Pelagic squids</x:v>
      </x:c>
      <x:c r="M397" s="33" t="str">
        <x:v>Cephalopoda</x:v>
      </x:c>
    </x:row>
    <x:row r="398">
      <x:c r="A398" s="33" t="str">
        <x:v>Broad group</x:v>
      </x:c>
      <x:c r="B398" s="33" t="str">
        <x:v>Ecological proxy</x:v>
      </x:c>
      <x:c r="C398" s="33" t="str">
        <x:v>Demersal/benthopelagic cuttlefishes</x:v>
      </x:c>
      <x:c r="D398" s="33" t="str">
        <x:v>Sepia officinalis</x:v>
      </x:c>
      <x:c r="E398" s="59" t="n">
        <x:v>3.8</x:v>
      </x:c>
      <x:c r="F398" s="59" t="n">
        <x:v>4.75</x:v>
      </x:c>
      <x:c r="G398" s="59" t="n">
        <x:f>IF(F398="","",F398-E398)</x:f>
        <x:v>0.9500000000000002</x:v>
      </x:c>
      <x:c r="H398" s="59" t="n">
        <x:f>IF(G398="","",ABS(G398))</x:f>
        <x:v>0.9500000000000002</x:v>
      </x:c>
      <x:c r="I398" s="60" t="n">
        <x:f>IF(G398="","",ABS(G398/E398)*100)</x:f>
        <x:v>25.000000000000007</x:v>
      </x:c>
      <x:c r="J398" s="33" t="str">
        <x:v>Sepia</x:v>
      </x:c>
      <x:c r="K398" s="33" t="str">
        <x:v>Sepiidae</x:v>
      </x:c>
      <x:c r="L398" s="33" t="str">
        <x:v>Demersal/benthopelagic cuttlefishes</x:v>
      </x:c>
      <x:c r="M398" s="33" t="str">
        <x:v>Cephalopoda</x:v>
      </x:c>
    </x:row>
    <x:row r="399">
      <x:c r="A399" s="33" t="str">
        <x:v>Broad group</x:v>
      </x:c>
      <x:c r="B399" s="33" t="str">
        <x:v>Ecological proxy</x:v>
      </x:c>
      <x:c r="C399" s="33" t="str">
        <x:v>Benthic octopuses</x:v>
      </x:c>
      <x:c r="D399" s="33" t="str">
        <x:v>Eledone cirrhosa</x:v>
      </x:c>
      <x:c r="E399" s="59" t="n">
        <x:v>4.7</x:v>
      </x:c>
      <x:c r="F399" s="59" t="n">
        <x:v>4.699999999999999</x:v>
      </x:c>
      <x:c r="G399" s="59" t="n">
        <x:f>IF(F399="","",F399-E399)</x:f>
        <x:v>-8.881784197001252e-16</x:v>
      </x:c>
      <x:c r="H399" s="59" t="str">
        <x:f>IF(G399="","",ABS(G399))</x:f>
      </x:c>
      <x:c r="I399" s="60" t="str">
        <x:f>IF(G399="","",ABS(G399/E399)*100)</x:f>
      </x:c>
      <x:c r="J399" s="33" t="str">
        <x:v>Eledone</x:v>
      </x:c>
      <x:c r="K399" s="33" t="str">
        <x:v>Octopodidae</x:v>
      </x:c>
      <x:c r="L399" s="33" t="str">
        <x:v>Benthic octopuses</x:v>
      </x:c>
      <x:c r="M399" s="33" t="str">
        <x:v>Cephalopoda</x:v>
      </x:c>
    </x:row>
    <x:row r="400">
      <x:c r="A400" s="33" t="str">
        <x:v>Broad group</x:v>
      </x:c>
      <x:c r="B400" s="33" t="str">
        <x:v>Ecological proxy</x:v>
      </x:c>
      <x:c r="C400" s="33" t="str">
        <x:v>Demersal sharks</x:v>
      </x:c>
      <x:c r="D400" s="33" t="str">
        <x:v>Scyliorhinus canicula</x:v>
      </x:c>
      <x:c r="E400" s="59" t="n">
        <x:v>6.4</x:v>
      </x:c>
      <x:c r="F400" s="59" t="n">
        <x:v>4.8</x:v>
      </x:c>
      <x:c r="G400" s="59" t="n">
        <x:f>IF(F400="","",F400-E400)</x:f>
        <x:v>-1.6000000000000005</x:v>
      </x:c>
      <x:c r="H400" s="59" t="n">
        <x:f>IF(G400="","",ABS(G400))</x:f>
        <x:v>1.6000000000000005</x:v>
      </x:c>
      <x:c r="I400" s="60" t="n">
        <x:f>IF(G400="","",ABS(G400/E400)*100)</x:f>
        <x:v>25.000000000000007</x:v>
      </x:c>
      <x:c r="J400" s="33" t="str">
        <x:v>Scyliorhinus</x:v>
      </x:c>
      <x:c r="K400" s="33" t="str">
        <x:v>Scyliorhinidae</x:v>
      </x:c>
      <x:c r="L400" s="33" t="str">
        <x:v>Demersal sharks</x:v>
      </x:c>
      <x:c r="M400" s="33" t="str">
        <x:v>Chondrichthyes</x:v>
      </x:c>
    </x:row>
    <x:row r="401">
      <x:c r="A401" s="33" t="str">
        <x:v>Broad group</x:v>
      </x:c>
      <x:c r="B401" s="33" t="str">
        <x:v>Ecological proxy</x:v>
      </x:c>
      <x:c r="C401" s="33" t="str">
        <x:v>Demersal rays</x:v>
      </x:c>
      <x:c r="D401" s="33" t="str">
        <x:v>Leucoraja naevus</x:v>
      </x:c>
      <x:c r="E401" s="59" t="n">
        <x:v>5.7</x:v>
      </x:c>
      <x:c r="F401" s="59" t="n">
        <x:v>5.15</x:v>
      </x:c>
      <x:c r="G401" s="59" t="n">
        <x:f>IF(F401="","",F401-E401)</x:f>
        <x:v>-0.5499999999999998</x:v>
      </x:c>
      <x:c r="H401" s="59" t="n">
        <x:f>IF(G401="","",ABS(G401))</x:f>
        <x:v>0.5499999999999998</x:v>
      </x:c>
      <x:c r="I401" s="60" t="n">
        <x:f>IF(G401="","",ABS(G401/E401)*100)</x:f>
        <x:v>9.649122807017541</x:v>
      </x:c>
      <x:c r="J401" s="33" t="str">
        <x:v>Leucoraja</x:v>
      </x:c>
      <x:c r="K401" s="33" t="str">
        <x:v>Rajidae</x:v>
      </x:c>
      <x:c r="L401" s="33" t="str">
        <x:v>Demersal rays</x:v>
      </x:c>
      <x:c r="M401" s="33" t="str">
        <x:v>Chondrichthyes</x:v>
      </x:c>
    </x:row>
    <x:row r="402">
      <x:c r="A402" s="33" t="str">
        <x:v>Broad group</x:v>
      </x:c>
      <x:c r="B402" s="33" t="str">
        <x:v>Ecological proxy</x:v>
      </x:c>
      <x:c r="C402" s="33" t="str">
        <x:v>Demersal chimaeras</x:v>
      </x:c>
      <x:c r="D402" s="33" t="str">
        <x:v>Chimaera monstrosa</x:v>
      </x:c>
      <x:c r="E402" s="59" t="n">
        <x:v>3.9</x:v>
      </x:c>
      <x:c r="F402" s="59" t="n">
        <x:v>6.050000000000001</x:v>
      </x:c>
      <x:c r="G402" s="59" t="n">
        <x:f>IF(F402="","",F402-E402)</x:f>
        <x:v>2.150000000000001</x:v>
      </x:c>
      <x:c r="H402" s="59" t="n">
        <x:f>IF(G402="","",ABS(G402))</x:f>
        <x:v>2.150000000000001</x:v>
      </x:c>
      <x:c r="I402" s="60" t="n">
        <x:f>IF(G402="","",ABS(G402/E402)*100)</x:f>
        <x:v>55.12820512820515</x:v>
      </x:c>
      <x:c r="J402" s="33" t="str">
        <x:v>Chimaera</x:v>
      </x:c>
      <x:c r="K402" s="33" t="str">
        <x:v>Chimaeridae</x:v>
      </x:c>
      <x:c r="L402" s="33" t="str">
        <x:v>Demersal chimaeras</x:v>
      </x:c>
      <x:c r="M402" s="33" t="str">
        <x:v>Chondrichthyes</x:v>
      </x:c>
    </x:row>
    <x:row r="403">
      <x:c r="A403" s="33" t="str">
        <x:v>Broad group</x:v>
      </x:c>
      <x:c r="B403" s="33" t="str">
        <x:v>Ecological proxy</x:v>
      </x:c>
      <x:c r="C403" s="33" t="str">
        <x:v>Unclassified teleosts</x:v>
      </x:c>
      <x:c r="D403" s="33" t="str">
        <x:v>Serrivomer beanii</x:v>
      </x:c>
      <x:c r="E403" s="59" t="n">
        <x:v>2.1</x:v>
      </x:c>
      <x:c r="F403" s="59" t="n">
        <x:v>5.695</x:v>
      </x:c>
      <x:c r="G403" s="59" t="n">
        <x:f>IF(F403="","",F403-E403)</x:f>
        <x:v>3.595</x:v>
      </x:c>
      <x:c r="H403" s="59" t="n">
        <x:f>IF(G403="","",ABS(G403))</x:f>
        <x:v>3.595</x:v>
      </x:c>
      <x:c r="I403" s="60" t="n">
        <x:f>IF(G403="","",ABS(G403/E403)*100)</x:f>
        <x:v>171.19047619047618</x:v>
      </x:c>
      <x:c r="J403" s="33" t="str">
        <x:v>Serrivomer</x:v>
      </x:c>
      <x:c r="K403" s="33" t="str">
        <x:v>Serrivomeridae</x:v>
      </x:c>
      <x:c r="L403" s="33" t="str">
        <x:v>Unclassified teleosts</x:v>
      </x:c>
      <x:c r="M403" s="33" t="str">
        <x:v>Teleostei</x:v>
      </x:c>
    </x:row>
    <x:row r="404">
      <x:c r="A404" s="33" t="str">
        <x:v>Broad group</x:v>
      </x:c>
      <x:c r="B404" s="33" t="str">
        <x:v>Ecological proxy</x:v>
      </x:c>
      <x:c r="C404" s="33" t="str">
        <x:v>Small pelagic forage fishes</x:v>
      </x:c>
      <x:c r="D404" s="33" t="str">
        <x:v>Sprattus sprattus</x:v>
      </x:c>
      <x:c r="E404" s="59" t="n">
        <x:v>6.5</x:v>
      </x:c>
      <x:c r="F404" s="59" t="n">
        <x:v>5.4</x:v>
      </x:c>
      <x:c r="G404" s="59" t="n">
        <x:f>IF(F404="","",F404-E404)</x:f>
        <x:v>-1.0999999999999996</x:v>
      </x:c>
      <x:c r="H404" s="59" t="n">
        <x:f>IF(G404="","",ABS(G404))</x:f>
        <x:v>1.0999999999999996</x:v>
      </x:c>
      <x:c r="I404" s="60" t="n">
        <x:f>IF(G404="","",ABS(G404/E404)*100)</x:f>
        <x:v>16.92307692307692</x:v>
      </x:c>
      <x:c r="J404" s="33" t="str">
        <x:v>Sprattus</x:v>
      </x:c>
      <x:c r="K404" s="33" t="str">
        <x:v>Clupeidae</x:v>
      </x:c>
      <x:c r="L404" s="33" t="str">
        <x:v>Small pelagic forage fishes</x:v>
      </x:c>
      <x:c r="M404" s="33" t="str">
        <x:v>Teleostei</x:v>
      </x:c>
    </x:row>
    <x:row r="405">
      <x:c r="A405" s="33" t="str">
        <x:v>Broad group</x:v>
      </x:c>
      <x:c r="B405" s="33" t="str">
        <x:v>Ecological proxy</x:v>
      </x:c>
      <x:c r="C405" s="33" t="str">
        <x:v>Small pelagic forage fishes</x:v>
      </x:c>
      <x:c r="D405" s="33" t="str">
        <x:v>Sardina pilchardus</x:v>
      </x:c>
      <x:c r="E405" s="59" t="n">
        <x:v>8.7</x:v>
      </x:c>
      <x:c r="F405" s="59" t="n">
        <x:v>5.4</x:v>
      </x:c>
      <x:c r="G405" s="59" t="n">
        <x:f>IF(F405="","",F405-E405)</x:f>
        <x:v>-3.299999999999999</x:v>
      </x:c>
      <x:c r="H405" s="59" t="n">
        <x:f>IF(G405="","",ABS(G405))</x:f>
        <x:v>3.299999999999999</x:v>
      </x:c>
      <x:c r="I405" s="60" t="n">
        <x:f>IF(G405="","",ABS(G405/E405)*100)</x:f>
        <x:v>37.93103448275861</x:v>
      </x:c>
      <x:c r="J405" s="33" t="str">
        <x:v>Sardina</x:v>
      </x:c>
      <x:c r="K405" s="33" t="str">
        <x:v>Clupeidae</x:v>
      </x:c>
      <x:c r="L405" s="33" t="str">
        <x:v>Small pelagic forage fishes</x:v>
      </x:c>
      <x:c r="M405" s="33" t="str">
        <x:v>Teleostei</x:v>
      </x:c>
    </x:row>
    <x:row r="406">
      <x:c r="A406" s="33" t="str">
        <x:v>Broad group</x:v>
      </x:c>
      <x:c r="B406" s="33" t="str">
        <x:v>Ecological proxy</x:v>
      </x:c>
      <x:c r="C406" s="33" t="str">
        <x:v>Small pelagic forage fishes</x:v>
      </x:c>
      <x:c r="D406" s="33" t="str">
        <x:v>Clupea harengus</x:v>
      </x:c>
      <x:c r="E406" s="59" t="n">
        <x:v>7.955</x:v>
      </x:c>
      <x:c r="F406" s="59" t="n">
        <x:v>5.4</x:v>
      </x:c>
      <x:c r="G406" s="59" t="n">
        <x:f>IF(F406="","",F406-E406)</x:f>
        <x:v>-2.5549999999999997</x:v>
      </x:c>
      <x:c r="H406" s="59" t="n">
        <x:f>IF(G406="","",ABS(G406))</x:f>
        <x:v>2.5549999999999997</x:v>
      </x:c>
      <x:c r="I406" s="60" t="n">
        <x:f>IF(G406="","",ABS(G406/E406)*100)</x:f>
        <x:v>32.118164676304204</x:v>
      </x:c>
      <x:c r="J406" s="33" t="str">
        <x:v>Clupea</x:v>
      </x:c>
      <x:c r="K406" s="33" t="str">
        <x:v>Clupeidae</x:v>
      </x:c>
      <x:c r="L406" s="33" t="str">
        <x:v>Small pelagic forage fishes</x:v>
      </x:c>
      <x:c r="M406" s="33" t="str">
        <x:v>Teleostei</x:v>
      </x:c>
    </x:row>
    <x:row r="407">
      <x:c r="A407" s="33" t="str">
        <x:v>Broad group</x:v>
      </x:c>
      <x:c r="B407" s="33" t="str">
        <x:v>Ecological proxy</x:v>
      </x:c>
      <x:c r="C407" s="33" t="str">
        <x:v>Small pelagic forage fishes</x:v>
      </x:c>
      <x:c r="D407" s="33" t="str">
        <x:v>Engraulis encrasicolus</x:v>
      </x:c>
      <x:c r="E407" s="59" t="n">
        <x:v>5.8</x:v>
      </x:c>
      <x:c r="F407" s="59" t="n">
        <x:v>5.4</x:v>
      </x:c>
      <x:c r="G407" s="59" t="n">
        <x:f>IF(F407="","",F407-E407)</x:f>
        <x:v>-0.39999999999999947</x:v>
      </x:c>
      <x:c r="H407" s="59" t="n">
        <x:f>IF(G407="","",ABS(G407))</x:f>
        <x:v>0.39999999999999947</x:v>
      </x:c>
      <x:c r="I407" s="60" t="n">
        <x:f>IF(G407="","",ABS(G407/E407)*100)</x:f>
        <x:v>6.896551724137923</x:v>
      </x:c>
      <x:c r="J407" s="33" t="str">
        <x:v>Engraulis</x:v>
      </x:c>
      <x:c r="K407" s="33" t="str">
        <x:v>Engraulidae</x:v>
      </x:c>
      <x:c r="L407" s="33" t="str">
        <x:v>Small pelagic forage fishes</x:v>
      </x:c>
      <x:c r="M407" s="33" t="str">
        <x:v>Teleostei</x:v>
      </x:c>
    </x:row>
    <x:row r="408">
      <x:c r="A408" s="33" t="str">
        <x:v>Broad group</x:v>
      </x:c>
      <x:c r="B408" s="33" t="str">
        <x:v>Ecological proxy</x:v>
      </x:c>
      <x:c r="C408" s="33" t="str">
        <x:v>Unclassified teleosts</x:v>
      </x:c>
      <x:c r="D408" s="33" t="str">
        <x:v>Xenodermichtys copei</x:v>
      </x:c>
      <x:c r="E408" s="59" t="n">
        <x:v>2.2</x:v>
      </x:c>
      <x:c r="F408" s="59" t="n">
        <x:v>5.695</x:v>
      </x:c>
      <x:c r="G408" s="59" t="n">
        <x:f>IF(F408="","",F408-E408)</x:f>
        <x:v>3.495</x:v>
      </x:c>
      <x:c r="H408" s="59" t="n">
        <x:f>IF(G408="","",ABS(G408))</x:f>
        <x:v>3.495</x:v>
      </x:c>
      <x:c r="I408" s="60" t="n">
        <x:f>IF(G408="","",ABS(G408/E408)*100)</x:f>
        <x:v>158.86363636363637</x:v>
      </x:c>
      <x:c r="J408" s="33" t="str">
        <x:v>Xenodermichtys</x:v>
      </x:c>
      <x:c r="K408" s="33" t="str">
        <x:v>Alepocephalidae</x:v>
      </x:c>
      <x:c r="L408" s="33" t="str">
        <x:v>Unclassified teleosts</x:v>
      </x:c>
      <x:c r="M408" s="33" t="str">
        <x:v>Teleostei</x:v>
      </x:c>
    </x:row>
    <x:row r="409">
      <x:c r="A409" s="33" t="str">
        <x:v>Broad group</x:v>
      </x:c>
      <x:c r="B409" s="33" t="str">
        <x:v>Ecological proxy</x:v>
      </x:c>
      <x:c r="C409" s="33" t="str">
        <x:v>Unclassified teleosts</x:v>
      </x:c>
      <x:c r="D409" s="33" t="str">
        <x:v>Argentina sphyraena</x:v>
      </x:c>
      <x:c r="E409" s="59" t="n">
        <x:v>6.1</x:v>
      </x:c>
      <x:c r="F409" s="59" t="n">
        <x:v>5.695</x:v>
      </x:c>
      <x:c r="G409" s="59" t="n">
        <x:f>IF(F409="","",F409-E409)</x:f>
        <x:v>-0.40499999999999936</x:v>
      </x:c>
      <x:c r="H409" s="59" t="n">
        <x:f>IF(G409="","",ABS(G409))</x:f>
        <x:v>0.40499999999999936</x:v>
      </x:c>
      <x:c r="I409" s="60" t="n">
        <x:f>IF(G409="","",ABS(G409/E409)*100)</x:f>
        <x:v>6.639344262295071</x:v>
      </x:c>
      <x:c r="J409" s="33" t="str">
        <x:v>Argentina</x:v>
      </x:c>
      <x:c r="K409" s="33" t="str">
        <x:v>Argentinidae</x:v>
      </x:c>
      <x:c r="L409" s="33" t="str">
        <x:v>Unclassified teleosts</x:v>
      </x:c>
      <x:c r="M409" s="33" t="str">
        <x:v>Teleostei</x:v>
      </x:c>
    </x:row>
    <x:row r="410">
      <x:c r="A410" s="33" t="str">
        <x:v>Broad group</x:v>
      </x:c>
      <x:c r="B410" s="33" t="str">
        <x:v>Ecological proxy</x:v>
      </x:c>
      <x:c r="C410" s="33" t="str">
        <x:v>Unclassified teleosts</x:v>
      </x:c>
      <x:c r="D410" s="33" t="str">
        <x:v>Normichthys operosa</x:v>
      </x:c>
      <x:c r="E410" s="59" t="n">
        <x:v>2.6</x:v>
      </x:c>
      <x:c r="F410" s="59" t="n">
        <x:v>5.695</x:v>
      </x:c>
      <x:c r="G410" s="59" t="n">
        <x:f>IF(F410="","",F410-E410)</x:f>
        <x:v>3.095</x:v>
      </x:c>
      <x:c r="H410" s="59" t="n">
        <x:f>IF(G410="","",ABS(G410))</x:f>
        <x:v>3.095</x:v>
      </x:c>
      <x:c r="I410" s="60" t="n">
        <x:f>IF(G410="","",ABS(G410/E410)*100)</x:f>
        <x:v>119.03846153846153</x:v>
      </x:c>
      <x:c r="J410" s="33" t="str">
        <x:v>Normichthys</x:v>
      </x:c>
      <x:c r="K410" s="33" t="str">
        <x:v>Platytroctidae</x:v>
      </x:c>
      <x:c r="L410" s="33" t="str">
        <x:v>Unclassified teleosts</x:v>
      </x:c>
      <x:c r="M410" s="33" t="str">
        <x:v>Teleostei</x:v>
      </x:c>
    </x:row>
    <x:row r="411">
      <x:c r="A411" s="33" t="str">
        <x:v>Broad group</x:v>
      </x:c>
      <x:c r="B411" s="33" t="str">
        <x:v>Ecological proxy</x:v>
      </x:c>
      <x:c r="C411" s="33" t="str">
        <x:v>Mesopelagic forage fishes</x:v>
      </x:c>
      <x:c r="D411" s="33" t="str">
        <x:v>Argyropelecus olfersii</x:v>
      </x:c>
      <x:c r="E411" s="59" t="n">
        <x:v>3.5</x:v>
      </x:c>
      <x:c r="F411" s="59" t="n">
        <x:v>5.619999999999999</x:v>
      </x:c>
      <x:c r="G411" s="59" t="n">
        <x:f>IF(F411="","",F411-E411)</x:f>
        <x:v>2.119999999999999</x:v>
      </x:c>
      <x:c r="H411" s="59" t="n">
        <x:f>IF(G411="","",ABS(G411))</x:f>
        <x:v>2.119999999999999</x:v>
      </x:c>
      <x:c r="I411" s="60" t="n">
        <x:f>IF(G411="","",ABS(G411/E411)*100)</x:f>
        <x:v>60.571428571428555</x:v>
      </x:c>
      <x:c r="J411" s="33" t="str">
        <x:v>Argyropelecus</x:v>
      </x:c>
      <x:c r="K411" s="33" t="str">
        <x:v>Sternoptychidae</x:v>
      </x:c>
      <x:c r="L411" s="33" t="str">
        <x:v>Mesopelagic forage fishes</x:v>
      </x:c>
      <x:c r="M411" s="33" t="str">
        <x:v>Teleostei</x:v>
      </x:c>
    </x:row>
    <x:row r="412">
      <x:c r="A412" s="33" t="str">
        <x:v>Broad group</x:v>
      </x:c>
      <x:c r="B412" s="33" t="str">
        <x:v>Ecological proxy</x:v>
      </x:c>
      <x:c r="C412" s="33" t="str">
        <x:v>Mesopelagic forage fishes</x:v>
      </x:c>
      <x:c r="D412" s="33" t="str">
        <x:v>Maurolicus muelleri</x:v>
      </x:c>
      <x:c r="E412" s="59" t="n">
        <x:v>4.2</x:v>
      </x:c>
      <x:c r="F412" s="59" t="n">
        <x:v>5.619999999999999</x:v>
      </x:c>
      <x:c r="G412" s="59" t="n">
        <x:f>IF(F412="","",F412-E412)</x:f>
        <x:v>1.419999999999999</x:v>
      </x:c>
      <x:c r="H412" s="59" t="n">
        <x:f>IF(G412="","",ABS(G412))</x:f>
        <x:v>1.419999999999999</x:v>
      </x:c>
      <x:c r="I412" s="60" t="n">
        <x:f>IF(G412="","",ABS(G412/E412)*100)</x:f>
        <x:v>33.80952380952378</x:v>
      </x:c>
      <x:c r="J412" s="33" t="str">
        <x:v>Maurolicus</x:v>
      </x:c>
      <x:c r="K412" s="33" t="str">
        <x:v>Sternoptychidae</x:v>
      </x:c>
      <x:c r="L412" s="33" t="str">
        <x:v>Mesopelagic forage fishes</x:v>
      </x:c>
      <x:c r="M412" s="33" t="str">
        <x:v>Teleostei</x:v>
      </x:c>
    </x:row>
    <x:row r="413">
      <x:c r="A413" s="33" t="str">
        <x:v>Broad group</x:v>
      </x:c>
      <x:c r="B413" s="33" t="str">
        <x:v>Ecological proxy</x:v>
      </x:c>
      <x:c r="C413" s="33" t="str">
        <x:v>Unclassified teleosts</x:v>
      </x:c>
      <x:c r="D413" s="33" t="str">
        <x:v>Stomias boa</x:v>
      </x:c>
      <x:c r="E413" s="59" t="n">
        <x:v>2.8</x:v>
      </x:c>
      <x:c r="F413" s="59" t="n">
        <x:v>5.695</x:v>
      </x:c>
      <x:c r="G413" s="59" t="n">
        <x:f>IF(F413="","",F413-E413)</x:f>
        <x:v>2.8950000000000005</x:v>
      </x:c>
      <x:c r="H413" s="59" t="n">
        <x:f>IF(G413="","",ABS(G413))</x:f>
        <x:v>2.8950000000000005</x:v>
      </x:c>
      <x:c r="I413" s="60" t="n">
        <x:f>IF(G413="","",ABS(G413/E413)*100)</x:f>
        <x:v>103.39285714285718</x:v>
      </x:c>
      <x:c r="J413" s="33" t="str">
        <x:v>Stomias</x:v>
      </x:c>
      <x:c r="K413" s="33" t="str">
        <x:v>Stomiidae</x:v>
      </x:c>
      <x:c r="L413" s="33" t="str">
        <x:v>Unclassified teleosts</x:v>
      </x:c>
      <x:c r="M413" s="33" t="str">
        <x:v>Teleostei</x:v>
      </x:c>
    </x:row>
    <x:row r="414">
      <x:c r="A414" s="33" t="str">
        <x:v>Broad group</x:v>
      </x:c>
      <x:c r="B414" s="33" t="str">
        <x:v>Ecological proxy</x:v>
      </x:c>
      <x:c r="C414" s="33" t="str">
        <x:v>Unclassified teleosts</x:v>
      </x:c>
      <x:c r="D414" s="33" t="str">
        <x:v>Arctozenus risso</x:v>
      </x:c>
      <x:c r="E414" s="59" t="n">
        <x:v>4.3</x:v>
      </x:c>
      <x:c r="F414" s="59" t="n">
        <x:v>5.695</x:v>
      </x:c>
      <x:c r="G414" s="59" t="n">
        <x:f>IF(F414="","",F414-E414)</x:f>
        <x:v>1.3950000000000005</x:v>
      </x:c>
      <x:c r="H414" s="59" t="n">
        <x:f>IF(G414="","",ABS(G414))</x:f>
        <x:v>1.3950000000000005</x:v>
      </x:c>
      <x:c r="I414" s="60" t="n">
        <x:f>IF(G414="","",ABS(G414/E414)*100)</x:f>
        <x:v>32.44186046511629</x:v>
      </x:c>
      <x:c r="J414" s="33" t="str">
        <x:v>Arctozenus</x:v>
      </x:c>
      <x:c r="K414" s="33" t="str">
        <x:v>Paralepididae</x:v>
      </x:c>
      <x:c r="L414" s="33" t="str">
        <x:v>Unclassified teleosts</x:v>
      </x:c>
      <x:c r="M414" s="33" t="str">
        <x:v>Teleostei</x:v>
      </x:c>
    </x:row>
    <x:row r="415">
      <x:c r="A415" s="33" t="str">
        <x:v>Broad group</x:v>
      </x:c>
      <x:c r="B415" s="33" t="str">
        <x:v>Ecological proxy</x:v>
      </x:c>
      <x:c r="C415" s="33" t="str">
        <x:v>Mesopelagic forage fishes</x:v>
      </x:c>
      <x:c r="D415" s="33" t="str">
        <x:v>Lampanyctus crocodilus</x:v>
      </x:c>
      <x:c r="E415" s="59" t="n">
        <x:v>4.1</x:v>
      </x:c>
      <x:c r="F415" s="59" t="n">
        <x:v>5.619999999999999</x:v>
      </x:c>
      <x:c r="G415" s="59" t="n">
        <x:f>IF(F415="","",F415-E415)</x:f>
        <x:v>1.5199999999999996</x:v>
      </x:c>
      <x:c r="H415" s="59" t="n">
        <x:f>IF(G415="","",ABS(G415))</x:f>
        <x:v>1.5199999999999996</x:v>
      </x:c>
      <x:c r="I415" s="60" t="n">
        <x:f>IF(G415="","",ABS(G415/E415)*100)</x:f>
        <x:v>37.073170731707314</x:v>
      </x:c>
      <x:c r="J415" s="33" t="str">
        <x:v>Lampanyctus</x:v>
      </x:c>
      <x:c r="K415" s="33" t="str">
        <x:v>Myctophidae</x:v>
      </x:c>
      <x:c r="L415" s="33" t="str">
        <x:v>Mesopelagic forage fishes</x:v>
      </x:c>
      <x:c r="M415" s="33" t="str">
        <x:v>Teleostei</x:v>
      </x:c>
    </x:row>
    <x:row r="416">
      <x:c r="A416" s="33" t="str">
        <x:v>Broad group</x:v>
      </x:c>
      <x:c r="B416" s="33" t="str">
        <x:v>Ecological proxy</x:v>
      </x:c>
      <x:c r="C416" s="33" t="str">
        <x:v>Mesopelagic forage fishes</x:v>
      </x:c>
      <x:c r="D416" s="33" t="str">
        <x:v>Benthosema glaciale</x:v>
      </x:c>
      <x:c r="E416" s="59" t="n">
        <x:v>5.9</x:v>
      </x:c>
      <x:c r="F416" s="59" t="n">
        <x:v>5.619999999999999</x:v>
      </x:c>
      <x:c r="G416" s="59" t="n">
        <x:f>IF(F416="","",F416-E416)</x:f>
        <x:v>-0.28000000000000114</x:v>
      </x:c>
      <x:c r="H416" s="59" t="n">
        <x:f>IF(G416="","",ABS(G416))</x:f>
        <x:v>0.28000000000000114</x:v>
      </x:c>
      <x:c r="I416" s="60" t="n">
        <x:f>IF(G416="","",ABS(G416/E416)*100)</x:f>
        <x:v>4.745762711864425</x:v>
      </x:c>
      <x:c r="J416" s="33" t="str">
        <x:v>Benthosema</x:v>
      </x:c>
      <x:c r="K416" s="33" t="str">
        <x:v>Myctophidae</x:v>
      </x:c>
      <x:c r="L416" s="33" t="str">
        <x:v>Mesopelagic forage fishes</x:v>
      </x:c>
      <x:c r="M416" s="33" t="str">
        <x:v>Teleostei</x:v>
      </x:c>
    </x:row>
    <x:row r="417">
      <x:c r="A417" s="33" t="str">
        <x:v>Broad group</x:v>
      </x:c>
      <x:c r="B417" s="33" t="str">
        <x:v>Ecological proxy</x:v>
      </x:c>
      <x:c r="C417" s="33" t="str">
        <x:v>Mesopelagic forage fishes</x:v>
      </x:c>
      <x:c r="D417" s="33" t="str">
        <x:v>Notoscopelus kroyeri</x:v>
      </x:c>
      <x:c r="E417" s="59" t="n">
        <x:v>7.9</x:v>
      </x:c>
      <x:c r="F417" s="59" t="n">
        <x:v>5.619999999999999</x:v>
      </x:c>
      <x:c r="G417" s="59" t="n">
        <x:f>IF(F417="","",F417-E417)</x:f>
        <x:v>-2.280000000000001</x:v>
      </x:c>
      <x:c r="H417" s="59" t="n">
        <x:f>IF(G417="","",ABS(G417))</x:f>
        <x:v>2.280000000000001</x:v>
      </x:c>
      <x:c r="I417" s="60" t="n">
        <x:f>IF(G417="","",ABS(G417/E417)*100)</x:f>
        <x:v>28.8607594936709</x:v>
      </x:c>
      <x:c r="J417" s="33" t="str">
        <x:v>Notoscopelus</x:v>
      </x:c>
      <x:c r="K417" s="33" t="str">
        <x:v>Myctophidae</x:v>
      </x:c>
      <x:c r="L417" s="33" t="str">
        <x:v>Mesopelagic forage fishes</x:v>
      </x:c>
      <x:c r="M417" s="33" t="str">
        <x:v>Teleostei</x:v>
      </x:c>
    </x:row>
    <x:row r="418">
      <x:c r="A418" s="33" t="str">
        <x:v>Broad group</x:v>
      </x:c>
      <x:c r="B418" s="33" t="str">
        <x:v>Ecological proxy</x:v>
      </x:c>
      <x:c r="C418" s="33" t="str">
        <x:v>Mesopelagic forage fishes</x:v>
      </x:c>
      <x:c r="D418" s="33" t="str">
        <x:v>Lobianchia gemellari</x:v>
      </x:c>
      <x:c r="E418" s="59" t="n">
        <x:v>8.6</x:v>
      </x:c>
      <x:c r="F418" s="59" t="n">
        <x:v>5.619999999999999</x:v>
      </x:c>
      <x:c r="G418" s="59" t="n">
        <x:f>IF(F418="","",F418-E418)</x:f>
        <x:v>-2.9800000000000004</x:v>
      </x:c>
      <x:c r="H418" s="59" t="n">
        <x:f>IF(G418="","",ABS(G418))</x:f>
        <x:v>2.9800000000000004</x:v>
      </x:c>
      <x:c r="I418" s="60" t="n">
        <x:f>IF(G418="","",ABS(G418/E418)*100)</x:f>
        <x:v>34.65116279069768</x:v>
      </x:c>
      <x:c r="J418" s="33" t="str">
        <x:v>Lobianchia</x:v>
      </x:c>
      <x:c r="K418" s="33" t="str">
        <x:v>Myctophidae</x:v>
      </x:c>
      <x:c r="L418" s="33" t="str">
        <x:v>Mesopelagic forage fishes</x:v>
      </x:c>
      <x:c r="M418" s="33" t="str">
        <x:v>Teleostei</x:v>
      </x:c>
    </x:row>
    <x:row r="419">
      <x:c r="A419" s="33" t="str">
        <x:v>Broad group</x:v>
      </x:c>
      <x:c r="B419" s="33" t="str">
        <x:v>Ecological proxy</x:v>
      </x:c>
      <x:c r="C419" s="33" t="str">
        <x:v>Other demersal fishes</x:v>
      </x:c>
      <x:c r="D419" s="33" t="str">
        <x:v>Coelorinchus coelorinchus</x:v>
      </x:c>
      <x:c r="E419" s="59" t="n">
        <x:v>5.1</x:v>
      </x:c>
      <x:c r="F419" s="59" t="n">
        <x:v>5.8</x:v>
      </x:c>
      <x:c r="G419" s="59" t="n">
        <x:f>IF(F419="","",F419-E419)</x:f>
        <x:v>0.7000000000000002</x:v>
      </x:c>
      <x:c r="H419" s="59" t="n">
        <x:f>IF(G419="","",ABS(G419))</x:f>
        <x:v>0.7000000000000002</x:v>
      </x:c>
      <x:c r="I419" s="60" t="n">
        <x:f>IF(G419="","",ABS(G419/E419)*100)</x:f>
        <x:v>13.725490196078436</x:v>
      </x:c>
      <x:c r="J419" s="33" t="str">
        <x:v>Coelorinchus</x:v>
      </x:c>
      <x:c r="K419" s="33" t="str">
        <x:v>Macrouridae</x:v>
      </x:c>
      <x:c r="L419" s="33" t="str">
        <x:v>Other demersal fishes</x:v>
      </x:c>
      <x:c r="M419" s="33" t="str">
        <x:v>Teleostei</x:v>
      </x:c>
    </x:row>
    <x:row r="420">
      <x:c r="A420" s="33" t="str">
        <x:v>Broad group</x:v>
      </x:c>
      <x:c r="B420" s="33" t="str">
        <x:v>Ecological proxy</x:v>
      </x:c>
      <x:c r="C420" s="33" t="str">
        <x:v>Other demersal fishes</x:v>
      </x:c>
      <x:c r="D420" s="33" t="str">
        <x:v>Merlangius merlangus</x:v>
      </x:c>
      <x:c r="E420" s="59" t="n">
        <x:v>3.9</x:v>
      </x:c>
      <x:c r="F420" s="59" t="n">
        <x:v>5.8</x:v>
      </x:c>
      <x:c r="G420" s="59" t="n">
        <x:f>IF(F420="","",F420-E420)</x:f>
        <x:v>1.9</x:v>
      </x:c>
      <x:c r="H420" s="59" t="n">
        <x:f>IF(G420="","",ABS(G420))</x:f>
        <x:v>1.9</x:v>
      </x:c>
      <x:c r="I420" s="60" t="n">
        <x:f>IF(G420="","",ABS(G420/E420)*100)</x:f>
        <x:v>48.717948717948715</x:v>
      </x:c>
      <x:c r="J420" s="33" t="str">
        <x:v>Merlangius</x:v>
      </x:c>
      <x:c r="K420" s="33" t="str">
        <x:v>Gadidae</x:v>
      </x:c>
      <x:c r="L420" s="33" t="str">
        <x:v>Other demersal fishes</x:v>
      </x:c>
      <x:c r="M420" s="33" t="str">
        <x:v>Teleostei</x:v>
      </x:c>
    </x:row>
    <x:row r="421">
      <x:c r="A421" s="33" t="str">
        <x:v>Broad group</x:v>
      </x:c>
      <x:c r="B421" s="33" t="str">
        <x:v>Ecological proxy</x:v>
      </x:c>
      <x:c r="C421" s="33" t="str">
        <x:v>Other demersal fishes</x:v>
      </x:c>
      <x:c r="D421" s="33" t="str">
        <x:v>Pollachius pollachius</x:v>
      </x:c>
      <x:c r="E421" s="59" t="n">
        <x:v>4.2</x:v>
      </x:c>
      <x:c r="F421" s="59" t="n">
        <x:v>5.8</x:v>
      </x:c>
      <x:c r="G421" s="59" t="n">
        <x:f>IF(F421="","",F421-E421)</x:f>
        <x:v>1.5999999999999996</x:v>
      </x:c>
      <x:c r="H421" s="59" t="n">
        <x:f>IF(G421="","",ABS(G421))</x:f>
        <x:v>1.5999999999999996</x:v>
      </x:c>
      <x:c r="I421" s="60" t="n">
        <x:f>IF(G421="","",ABS(G421/E421)*100)</x:f>
        <x:v>38.09523809523809</x:v>
      </x:c>
      <x:c r="J421" s="33" t="str">
        <x:v>Pollachius</x:v>
      </x:c>
      <x:c r="K421" s="33" t="str">
        <x:v>Gadidae</x:v>
      </x:c>
      <x:c r="L421" s="33" t="str">
        <x:v>Other demersal fishes</x:v>
      </x:c>
      <x:c r="M421" s="33" t="str">
        <x:v>Teleostei</x:v>
      </x:c>
    </x:row>
    <x:row r="422">
      <x:c r="A422" s="33" t="str">
        <x:v>Broad group</x:v>
      </x:c>
      <x:c r="B422" s="33" t="str">
        <x:v>Ecological proxy</x:v>
      </x:c>
      <x:c r="C422" s="33" t="str">
        <x:v>Other demersal fishes</x:v>
      </x:c>
      <x:c r="D422" s="33" t="str">
        <x:v>Micromesistius poutassou</x:v>
      </x:c>
      <x:c r="E422" s="59" t="n">
        <x:v>4.4</x:v>
      </x:c>
      <x:c r="F422" s="59" t="n">
        <x:v>5.8</x:v>
      </x:c>
      <x:c r="G422" s="59" t="n">
        <x:f>IF(F422="","",F422-E422)</x:f>
        <x:v>1.3999999999999995</x:v>
      </x:c>
      <x:c r="H422" s="59" t="n">
        <x:f>IF(G422="","",ABS(G422))</x:f>
        <x:v>1.3999999999999995</x:v>
      </x:c>
      <x:c r="I422" s="60" t="n">
        <x:f>IF(G422="","",ABS(G422/E422)*100)</x:f>
        <x:v>31.818181818181802</x:v>
      </x:c>
      <x:c r="J422" s="33" t="str">
        <x:v>Micromesistius</x:v>
      </x:c>
      <x:c r="K422" s="33" t="str">
        <x:v>Gadidae</x:v>
      </x:c>
      <x:c r="L422" s="33" t="str">
        <x:v>Other demersal fishes</x:v>
      </x:c>
      <x:c r="M422" s="33" t="str">
        <x:v>Teleostei</x:v>
      </x:c>
    </x:row>
    <x:row r="423">
      <x:c r="A423" s="33" t="str">
        <x:v>Broad group</x:v>
      </x:c>
      <x:c r="B423" s="33" t="str">
        <x:v>Ecological proxy</x:v>
      </x:c>
      <x:c r="C423" s="33" t="str">
        <x:v>Other demersal fishes</x:v>
      </x:c>
      <x:c r="D423" s="33" t="str">
        <x:v>Trisopterus luscus</x:v>
      </x:c>
      <x:c r="E423" s="59" t="n">
        <x:v>4.7</x:v>
      </x:c>
      <x:c r="F423" s="59" t="n">
        <x:v>5.8</x:v>
      </x:c>
      <x:c r="G423" s="59" t="n">
        <x:f>IF(F423="","",F423-E423)</x:f>
        <x:v>1.0999999999999996</x:v>
      </x:c>
      <x:c r="H423" s="59" t="n">
        <x:f>IF(G423="","",ABS(G423))</x:f>
        <x:v>1.0999999999999996</x:v>
      </x:c>
      <x:c r="I423" s="60" t="n">
        <x:f>IF(G423="","",ABS(G423/E423)*100)</x:f>
        <x:v>23.404255319148927</x:v>
      </x:c>
      <x:c r="J423" s="33" t="str">
        <x:v>Trisopterus</x:v>
      </x:c>
      <x:c r="K423" s="33" t="str">
        <x:v>Gadidae</x:v>
      </x:c>
      <x:c r="L423" s="33" t="str">
        <x:v>Other demersal fishes</x:v>
      </x:c>
      <x:c r="M423" s="33" t="str">
        <x:v>Teleostei</x:v>
      </x:c>
    </x:row>
    <x:row r="424">
      <x:c r="A424" s="33" t="str">
        <x:v>Broad group</x:v>
      </x:c>
      <x:c r="B424" s="33" t="str">
        <x:v>Ecological proxy</x:v>
      </x:c>
      <x:c r="C424" s="33" t="str">
        <x:v>Other demersal fishes</x:v>
      </x:c>
      <x:c r="D424" s="33" t="str">
        <x:v>Gadiculus argenteus</x:v>
      </x:c>
      <x:c r="E424" s="59" t="n">
        <x:v>5</x:v>
      </x:c>
      <x:c r="F424" s="59" t="n">
        <x:v>5.8</x:v>
      </x:c>
      <x:c r="G424" s="59" t="n">
        <x:f>IF(F424="","",F424-E424)</x:f>
        <x:v>0.7999999999999998</x:v>
      </x:c>
      <x:c r="H424" s="59" t="n">
        <x:f>IF(G424="","",ABS(G424))</x:f>
        <x:v>0.7999999999999998</x:v>
      </x:c>
      <x:c r="I424" s="60" t="n">
        <x:f>IF(G424="","",ABS(G424/E424)*100)</x:f>
        <x:v>15.999999999999998</x:v>
      </x:c>
      <x:c r="J424" s="33" t="str">
        <x:v>Gadiculus</x:v>
      </x:c>
      <x:c r="K424" s="33" t="str">
        <x:v>Gadidae</x:v>
      </x:c>
      <x:c r="L424" s="33" t="str">
        <x:v>Other demersal fishes</x:v>
      </x:c>
      <x:c r="M424" s="33" t="str">
        <x:v>Teleostei</x:v>
      </x:c>
    </x:row>
    <x:row r="425">
      <x:c r="A425" s="33" t="str">
        <x:v>Broad group</x:v>
      </x:c>
      <x:c r="B425" s="33" t="str">
        <x:v>Ecological proxy</x:v>
      </x:c>
      <x:c r="C425" s="33" t="str">
        <x:v>Other demersal fishes</x:v>
      </x:c>
      <x:c r="D425" s="33" t="str">
        <x:v>Trisopterus minutus</x:v>
      </x:c>
      <x:c r="E425" s="59" t="n">
        <x:v>5.1</x:v>
      </x:c>
      <x:c r="F425" s="59" t="n">
        <x:v>5.8</x:v>
      </x:c>
      <x:c r="G425" s="59" t="n">
        <x:f>IF(F425="","",F425-E425)</x:f>
        <x:v>0.7000000000000002</x:v>
      </x:c>
      <x:c r="H425" s="59" t="n">
        <x:f>IF(G425="","",ABS(G425))</x:f>
        <x:v>0.7000000000000002</x:v>
      </x:c>
      <x:c r="I425" s="60" t="n">
        <x:f>IF(G425="","",ABS(G425/E425)*100)</x:f>
        <x:v>13.725490196078436</x:v>
      </x:c>
      <x:c r="J425" s="33" t="str">
        <x:v>Trisopterus</x:v>
      </x:c>
      <x:c r="K425" s="33" t="str">
        <x:v>Gadidae</x:v>
      </x:c>
      <x:c r="L425" s="33" t="str">
        <x:v>Other demersal fishes</x:v>
      </x:c>
      <x:c r="M425" s="33" t="str">
        <x:v>Teleostei</x:v>
      </x:c>
    </x:row>
    <x:row r="426">
      <x:c r="A426" s="33" t="str">
        <x:v>Broad group</x:v>
      </x:c>
      <x:c r="B426" s="33" t="str">
        <x:v>Ecological proxy</x:v>
      </x:c>
      <x:c r="C426" s="33" t="str">
        <x:v>Unclassified teleosts</x:v>
      </x:c>
      <x:c r="D426" s="33" t="str">
        <x:v>Phycis blennoides</x:v>
      </x:c>
      <x:c r="E426" s="59" t="n">
        <x:v>5</x:v>
      </x:c>
      <x:c r="F426" s="59" t="n">
        <x:v>5.695</x:v>
      </x:c>
      <x:c r="G426" s="59" t="n">
        <x:f>IF(F426="","",F426-E426)</x:f>
        <x:v>0.6950000000000003</x:v>
      </x:c>
      <x:c r="H426" s="59" t="n">
        <x:f>IF(G426="","",ABS(G426))</x:f>
        <x:v>0.6950000000000003</x:v>
      </x:c>
      <x:c r="I426" s="60" t="n">
        <x:f>IF(G426="","",ABS(G426/E426)*100)</x:f>
        <x:v>13.900000000000007</x:v>
      </x:c>
      <x:c r="J426" s="33" t="str">
        <x:v>Phycis</x:v>
      </x:c>
      <x:c r="K426" s="33" t="str">
        <x:v>Phycidae</x:v>
      </x:c>
      <x:c r="L426" s="33" t="str">
        <x:v>Unclassified teleosts</x:v>
      </x:c>
      <x:c r="M426" s="33" t="str">
        <x:v>Teleostei</x:v>
      </x:c>
    </x:row>
    <x:row r="427">
      <x:c r="A427" s="33" t="str">
        <x:v>Broad group</x:v>
      </x:c>
      <x:c r="B427" s="33" t="str">
        <x:v>Ecological proxy</x:v>
      </x:c>
      <x:c r="C427" s="33" t="str">
        <x:v>Other demersal fishes</x:v>
      </x:c>
      <x:c r="D427" s="33" t="str">
        <x:v>Merluccius merluccius</x:v>
      </x:c>
      <x:c r="E427" s="59" t="n">
        <x:v>3.7</x:v>
      </x:c>
      <x:c r="F427" s="59" t="n">
        <x:v>5.8</x:v>
      </x:c>
      <x:c r="G427" s="59" t="n">
        <x:f>IF(F427="","",F427-E427)</x:f>
        <x:v>2.0999999999999996</x:v>
      </x:c>
      <x:c r="H427" s="59" t="n">
        <x:f>IF(G427="","",ABS(G427))</x:f>
        <x:v>2.0999999999999996</x:v>
      </x:c>
      <x:c r="I427" s="60" t="n">
        <x:f>IF(G427="","",ABS(G427/E427)*100)</x:f>
        <x:v>56.756756756756744</x:v>
      </x:c>
      <x:c r="J427" s="33" t="str">
        <x:v>Merluccius</x:v>
      </x:c>
      <x:c r="K427" s="33" t="str">
        <x:v>Merlucciidae</x:v>
      </x:c>
      <x:c r="L427" s="33" t="str">
        <x:v>Other demersal fishes</x:v>
      </x:c>
      <x:c r="M427" s="33" t="str">
        <x:v>Teleostei</x:v>
      </x:c>
    </x:row>
    <x:row r="428">
      <x:c r="A428" s="33" t="str">
        <x:v>Broad group</x:v>
      </x:c>
      <x:c r="B428" s="33" t="str">
        <x:v>Ecological proxy</x:v>
      </x:c>
      <x:c r="C428" s="33" t="str">
        <x:v>Small pelagic forage fishes</x:v>
      </x:c>
      <x:c r="D428" s="33" t="str">
        <x:v>Atherina presbyter</x:v>
      </x:c>
      <x:c r="E428" s="59" t="n">
        <x:v>7.3</x:v>
      </x:c>
      <x:c r="F428" s="59" t="n">
        <x:v>5.4</x:v>
      </x:c>
      <x:c r="G428" s="59" t="n">
        <x:f>IF(F428="","",F428-E428)</x:f>
        <x:v>-1.8999999999999995</x:v>
      </x:c>
      <x:c r="H428" s="59" t="n">
        <x:f>IF(G428="","",ABS(G428))</x:f>
        <x:v>1.8999999999999995</x:v>
      </x:c>
      <x:c r="I428" s="60" t="n">
        <x:f>IF(G428="","",ABS(G428/E428)*100)</x:f>
        <x:v>26.027397260273965</x:v>
      </x:c>
      <x:c r="J428" s="33" t="str">
        <x:v>Atherina</x:v>
      </x:c>
      <x:c r="K428" s="33" t="str">
        <x:v>Atherinidae</x:v>
      </x:c>
      <x:c r="L428" s="33" t="str">
        <x:v>Small pelagic forage fishes</x:v>
      </x:c>
      <x:c r="M428" s="33" t="str">
        <x:v>Teleostei</x:v>
      </x:c>
    </x:row>
    <x:row r="429">
      <x:c r="A429" s="33" t="str">
        <x:v>Broad group</x:v>
      </x:c>
      <x:c r="B429" s="33" t="str">
        <x:v>Ecological proxy</x:v>
      </x:c>
      <x:c r="C429" s="33" t="str">
        <x:v>Unclassified teleosts</x:v>
      </x:c>
      <x:c r="D429" s="33" t="str">
        <x:v>Belone belone</x:v>
      </x:c>
      <x:c r="E429" s="59" t="n">
        <x:v>6.2</x:v>
      </x:c>
      <x:c r="F429" s="59" t="n">
        <x:v>5.695</x:v>
      </x:c>
      <x:c r="G429" s="59" t="n">
        <x:f>IF(F429="","",F429-E429)</x:f>
        <x:v>-0.5049999999999999</x:v>
      </x:c>
      <x:c r="H429" s="59" t="n">
        <x:f>IF(G429="","",ABS(G429))</x:f>
        <x:v>0.5049999999999999</x:v>
      </x:c>
      <x:c r="I429" s="60" t="n">
        <x:f>IF(G429="","",ABS(G429/E429)*100)</x:f>
        <x:v>8.14516129032258</x:v>
      </x:c>
      <x:c r="J429" s="33" t="str">
        <x:v>Belone</x:v>
      </x:c>
      <x:c r="K429" s="33" t="str">
        <x:v>Belonidae</x:v>
      </x:c>
      <x:c r="L429" s="33" t="str">
        <x:v>Unclassified teleosts</x:v>
      </x:c>
      <x:c r="M429" s="33" t="str">
        <x:v>Teleostei</x:v>
      </x:c>
    </x:row>
    <x:row r="430">
      <x:c r="A430" s="33" t="str">
        <x:v>Broad group</x:v>
      </x:c>
      <x:c r="B430" s="33" t="str">
        <x:v>Ecological proxy</x:v>
      </x:c>
      <x:c r="C430" s="33" t="str">
        <x:v>Unclassified teleosts</x:v>
      </x:c>
      <x:c r="D430" s="33" t="str">
        <x:v>Scomberesox saurus</x:v>
      </x:c>
      <x:c r="E430" s="59" t="n">
        <x:v>5.8</x:v>
      </x:c>
      <x:c r="F430" s="59" t="n">
        <x:v>5.695</x:v>
      </x:c>
      <x:c r="G430" s="59" t="n">
        <x:f>IF(F430="","",F430-E430)</x:f>
        <x:v>-0.10499999999999954</x:v>
      </x:c>
      <x:c r="H430" s="59" t="n">
        <x:f>IF(G430="","",ABS(G430))</x:f>
        <x:v>0.10499999999999954</x:v>
      </x:c>
      <x:c r="I430" s="60" t="n">
        <x:f>IF(G430="","",ABS(G430/E430)*100)</x:f>
        <x:v>1.810344827586199</x:v>
      </x:c>
      <x:c r="J430" s="33" t="str">
        <x:v>Scomberesox</x:v>
      </x:c>
      <x:c r="K430" s="33" t="str">
        <x:v>Scomberesocidae</x:v>
      </x:c>
      <x:c r="L430" s="33" t="str">
        <x:v>Unclassified teleosts</x:v>
      </x:c>
      <x:c r="M430" s="33" t="str">
        <x:v>Teleostei</x:v>
      </x:c>
    </x:row>
    <x:row r="431">
      <x:c r="A431" s="33" t="str">
        <x:v>Broad group</x:v>
      </x:c>
      <x:c r="B431" s="33" t="str">
        <x:v>Ecological proxy</x:v>
      </x:c>
      <x:c r="C431" s="33" t="str">
        <x:v>Unclassified teleosts</x:v>
      </x:c>
      <x:c r="D431" s="33" t="str">
        <x:v>Hoplostethus mediterraneus</x:v>
      </x:c>
      <x:c r="E431" s="59" t="n">
        <x:v>4.7</x:v>
      </x:c>
      <x:c r="F431" s="59" t="n">
        <x:v>5.695</x:v>
      </x:c>
      <x:c r="G431" s="59" t="n">
        <x:f>IF(F431="","",F431-E431)</x:f>
        <x:v>0.9950000000000001</x:v>
      </x:c>
      <x:c r="H431" s="59" t="n">
        <x:f>IF(G431="","",ABS(G431))</x:f>
        <x:v>0.9950000000000001</x:v>
      </x:c>
      <x:c r="I431" s="60" t="n">
        <x:f>IF(G431="","",ABS(G431/E431)*100)</x:f>
        <x:v>21.170212765957448</x:v>
      </x:c>
      <x:c r="J431" s="33" t="str">
        <x:v>Hoplostethus</x:v>
      </x:c>
      <x:c r="K431" s="33" t="str">
        <x:v>Trachichthyidae</x:v>
      </x:c>
      <x:c r="L431" s="33" t="str">
        <x:v>Unclassified teleosts</x:v>
      </x:c>
      <x:c r="M431" s="33" t="str">
        <x:v>Teleostei</x:v>
      </x:c>
    </x:row>
    <x:row r="432">
      <x:c r="A432" s="33" t="str">
        <x:v>Broad group</x:v>
      </x:c>
      <x:c r="B432" s="33" t="str">
        <x:v>Ecological proxy</x:v>
      </x:c>
      <x:c r="C432" s="33" t="str">
        <x:v>Unclassified teleosts</x:v>
      </x:c>
      <x:c r="D432" s="33" t="str">
        <x:v>Capros aper</x:v>
      </x:c>
      <x:c r="E432" s="59" t="n">
        <x:v>6.2</x:v>
      </x:c>
      <x:c r="F432" s="59" t="n">
        <x:v>5.695</x:v>
      </x:c>
      <x:c r="G432" s="59" t="n">
        <x:f>IF(F432="","",F432-E432)</x:f>
        <x:v>-0.5049999999999999</x:v>
      </x:c>
      <x:c r="H432" s="59" t="n">
        <x:f>IF(G432="","",ABS(G432))</x:f>
        <x:v>0.5049999999999999</x:v>
      </x:c>
      <x:c r="I432" s="60" t="n">
        <x:f>IF(G432="","",ABS(G432/E432)*100)</x:f>
        <x:v>8.14516129032258</x:v>
      </x:c>
      <x:c r="J432" s="33" t="str">
        <x:v>Capros</x:v>
      </x:c>
      <x:c r="K432" s="33" t="str">
        <x:v>Caproidae</x:v>
      </x:c>
      <x:c r="L432" s="33" t="str">
        <x:v>Unclassified teleosts</x:v>
      </x:c>
      <x:c r="M432" s="33" t="str">
        <x:v>Teleostei</x:v>
      </x:c>
    </x:row>
    <x:row r="433">
      <x:c r="A433" s="33" t="str">
        <x:v>Broad group</x:v>
      </x:c>
      <x:c r="B433" s="33" t="str">
        <x:v>Ecological proxy</x:v>
      </x:c>
      <x:c r="C433" s="33" t="str">
        <x:v>Unclassified teleosts</x:v>
      </x:c>
      <x:c r="D433" s="33" t="str">
        <x:v>Entelurus aequoreus</x:v>
      </x:c>
      <x:c r="E433" s="59" t="n">
        <x:v>4.7</x:v>
      </x:c>
      <x:c r="F433" s="59" t="n">
        <x:v>5.695</x:v>
      </x:c>
      <x:c r="G433" s="59" t="n">
        <x:f>IF(F433="","",F433-E433)</x:f>
        <x:v>0.9950000000000001</x:v>
      </x:c>
      <x:c r="H433" s="59" t="n">
        <x:f>IF(G433="","",ABS(G433))</x:f>
        <x:v>0.9950000000000001</x:v>
      </x:c>
      <x:c r="I433" s="60" t="n">
        <x:f>IF(G433="","",ABS(G433/E433)*100)</x:f>
        <x:v>21.170212765957448</x:v>
      </x:c>
      <x:c r="J433" s="33" t="str">
        <x:v>Entelurus</x:v>
      </x:c>
      <x:c r="K433" s="33" t="str">
        <x:v>Syngnathidae</x:v>
      </x:c>
      <x:c r="L433" s="33" t="str">
        <x:v>Unclassified teleosts</x:v>
      </x:c>
      <x:c r="M433" s="33" t="str">
        <x:v>Teleostei</x:v>
      </x:c>
    </x:row>
    <x:row r="434">
      <x:c r="A434" s="33" t="str">
        <x:v>Broad group</x:v>
      </x:c>
      <x:c r="B434" s="33" t="str">
        <x:v>Ecological proxy</x:v>
      </x:c>
      <x:c r="C434" s="33" t="str">
        <x:v>Unclassified teleosts</x:v>
      </x:c>
      <x:c r="D434" s="33" t="str">
        <x:v>Helicolenus dactylopterus</x:v>
      </x:c>
      <x:c r="E434" s="59" t="n">
        <x:v>9.2</x:v>
      </x:c>
      <x:c r="F434" s="59" t="n">
        <x:v>5.695</x:v>
      </x:c>
      <x:c r="G434" s="59" t="n">
        <x:f>IF(F434="","",F434-E434)</x:f>
        <x:v>-3.504999999999999</x:v>
      </x:c>
      <x:c r="H434" s="59" t="n">
        <x:f>IF(G434="","",ABS(G434))</x:f>
        <x:v>3.504999999999999</x:v>
      </x:c>
      <x:c r="I434" s="60" t="n">
        <x:f>IF(G434="","",ABS(G434/E434)*100)</x:f>
        <x:v>38.097826086956516</x:v>
      </x:c>
      <x:c r="J434" s="33" t="str">
        <x:v>Helicolenus</x:v>
      </x:c>
      <x:c r="K434" s="33" t="str">
        <x:v>Sebastidae</x:v>
      </x:c>
      <x:c r="L434" s="33" t="str">
        <x:v>Unclassified teleosts</x:v>
      </x:c>
      <x:c r="M434" s="33" t="str">
        <x:v>Teleostei</x:v>
      </x:c>
    </x:row>
    <x:row r="435">
      <x:c r="A435" s="33" t="str">
        <x:v>Broad group</x:v>
      </x:c>
      <x:c r="B435" s="33" t="str">
        <x:v>Ecological proxy</x:v>
      </x:c>
      <x:c r="C435" s="33" t="str">
        <x:v>Unclassified teleosts</x:v>
      </x:c>
      <x:c r="D435" s="33" t="str">
        <x:v>Scorpaena loppei</x:v>
      </x:c>
      <x:c r="E435" s="59" t="n">
        <x:v>5.1</x:v>
      </x:c>
      <x:c r="F435" s="59" t="n">
        <x:v>5.695</x:v>
      </x:c>
      <x:c r="G435" s="59" t="n">
        <x:f>IF(F435="","",F435-E435)</x:f>
        <x:v>0.5950000000000006</x:v>
      </x:c>
      <x:c r="H435" s="59" t="n">
        <x:f>IF(G435="","",ABS(G435))</x:f>
        <x:v>0.5950000000000006</x:v>
      </x:c>
      <x:c r="I435" s="60" t="n">
        <x:f>IF(G435="","",ABS(G435/E435)*100)</x:f>
        <x:v>11.666666666666679</x:v>
      </x:c>
      <x:c r="J435" s="33" t="str">
        <x:v>Scorpaena</x:v>
      </x:c>
      <x:c r="K435" s="33" t="str">
        <x:v>Scorpaenidae</x:v>
      </x:c>
      <x:c r="L435" s="33" t="str">
        <x:v>Unclassified teleosts</x:v>
      </x:c>
      <x:c r="M435" s="33" t="str">
        <x:v>Teleostei</x:v>
      </x:c>
    </x:row>
    <x:row r="436">
      <x:c r="A436" s="33" t="str">
        <x:v>Broad group</x:v>
      </x:c>
      <x:c r="B436" s="33" t="str">
        <x:v>Ecological proxy</x:v>
      </x:c>
      <x:c r="C436" s="33" t="str">
        <x:v>Unclassified teleosts</x:v>
      </x:c>
      <x:c r="D436" s="33" t="str">
        <x:v>Chelidonichthys cuculus</x:v>
      </x:c>
      <x:c r="E436" s="59" t="n">
        <x:v>8.2</x:v>
      </x:c>
      <x:c r="F436" s="59" t="n">
        <x:v>5.695</x:v>
      </x:c>
      <x:c r="G436" s="59" t="n">
        <x:f>IF(F436="","",F436-E436)</x:f>
        <x:v>-2.504999999999999</x:v>
      </x:c>
      <x:c r="H436" s="59" t="n">
        <x:f>IF(G436="","",ABS(G436))</x:f>
        <x:v>2.504999999999999</x:v>
      </x:c>
      <x:c r="I436" s="60" t="n">
        <x:f>IF(G436="","",ABS(G436/E436)*100)</x:f>
        <x:v>30.548780487804866</x:v>
      </x:c>
      <x:c r="J436" s="33" t="str">
        <x:v>Chelidonichthys</x:v>
      </x:c>
      <x:c r="K436" s="33" t="str">
        <x:v>Triglidae</x:v>
      </x:c>
      <x:c r="L436" s="33" t="str">
        <x:v>Unclassified teleosts</x:v>
      </x:c>
      <x:c r="M436" s="33" t="str">
        <x:v>Teleostei</x:v>
      </x:c>
    </x:row>
    <x:row r="437">
      <x:c r="A437" s="33" t="str">
        <x:v>Broad group</x:v>
      </x:c>
      <x:c r="B437" s="33" t="str">
        <x:v>Ecological proxy</x:v>
      </x:c>
      <x:c r="C437" s="33" t="str">
        <x:v>Unclassified teleosts</x:v>
      </x:c>
      <x:c r="D437" s="33" t="str">
        <x:v>Dicentrarchus labrax</x:v>
      </x:c>
      <x:c r="E437" s="59" t="n">
        <x:v>6</x:v>
      </x:c>
      <x:c r="F437" s="59" t="n">
        <x:v>5.695</x:v>
      </x:c>
      <x:c r="G437" s="59" t="n">
        <x:f>IF(F437="","",F437-E437)</x:f>
        <x:v>-0.3049999999999997</x:v>
      </x:c>
      <x:c r="H437" s="59" t="n">
        <x:f>IF(G437="","",ABS(G437))</x:f>
        <x:v>0.3049999999999997</x:v>
      </x:c>
      <x:c r="I437" s="60" t="n">
        <x:f>IF(G437="","",ABS(G437/E437)*100)</x:f>
        <x:v>5.083333333333329</x:v>
      </x:c>
      <x:c r="J437" s="33" t="str">
        <x:v>Dicentrarchus</x:v>
      </x:c>
      <x:c r="K437" s="33" t="str">
        <x:v>Moronidae</x:v>
      </x:c>
      <x:c r="L437" s="33" t="str">
        <x:v>Unclassified teleosts</x:v>
      </x:c>
      <x:c r="M437" s="33" t="str">
        <x:v>Teleostei</x:v>
      </x:c>
    </x:row>
    <x:row r="438">
      <x:c r="A438" s="33" t="str">
        <x:v>Broad group</x:v>
      </x:c>
      <x:c r="B438" s="33" t="str">
        <x:v>Ecological proxy</x:v>
      </x:c>
      <x:c r="C438" s="33" t="str">
        <x:v>Unclassified teleosts</x:v>
      </x:c>
      <x:c r="D438" s="33" t="str">
        <x:v>Trachurus trachurus</x:v>
      </x:c>
      <x:c r="E438" s="59" t="n">
        <x:v>6</x:v>
      </x:c>
      <x:c r="F438" s="59" t="n">
        <x:v>5.695</x:v>
      </x:c>
      <x:c r="G438" s="59" t="n">
        <x:f>IF(F438="","",F438-E438)</x:f>
        <x:v>-0.3049999999999997</x:v>
      </x:c>
      <x:c r="H438" s="59" t="n">
        <x:f>IF(G438="","",ABS(G438))</x:f>
        <x:v>0.3049999999999997</x:v>
      </x:c>
      <x:c r="I438" s="60" t="n">
        <x:f>IF(G438="","",ABS(G438/E438)*100)</x:f>
        <x:v>5.083333333333329</x:v>
      </x:c>
      <x:c r="J438" s="33" t="str">
        <x:v>Trachurus</x:v>
      </x:c>
      <x:c r="K438" s="33" t="str">
        <x:v>Carangidae</x:v>
      </x:c>
      <x:c r="L438" s="33" t="str">
        <x:v>Unclassified teleosts</x:v>
      </x:c>
      <x:c r="M438" s="33" t="str">
        <x:v>Teleostei</x:v>
      </x:c>
    </x:row>
    <x:row r="439">
      <x:c r="A439" s="33" t="str">
        <x:v>Broad group</x:v>
      </x:c>
      <x:c r="B439" s="33" t="str">
        <x:v>Ecological proxy</x:v>
      </x:c>
      <x:c r="C439" s="33" t="str">
        <x:v>Unclassified teleosts</x:v>
      </x:c>
      <x:c r="D439" s="33" t="str">
        <x:v>Spondyliosoma cantharus</x:v>
      </x:c>
      <x:c r="E439" s="59" t="n">
        <x:v>6.9</x:v>
      </x:c>
      <x:c r="F439" s="59" t="n">
        <x:v>5.695</x:v>
      </x:c>
      <x:c r="G439" s="59" t="n">
        <x:f>IF(F439="","",F439-E439)</x:f>
        <x:v>-1.205</x:v>
      </x:c>
      <x:c r="H439" s="59" t="n">
        <x:f>IF(G439="","",ABS(G439))</x:f>
        <x:v>1.205</x:v>
      </x:c>
      <x:c r="I439" s="60" t="n">
        <x:f>IF(G439="","",ABS(G439/E439)*100)</x:f>
        <x:v>17.46376811594203</x:v>
      </x:c>
      <x:c r="J439" s="33" t="str">
        <x:v>Spondyliosoma</x:v>
      </x:c>
      <x:c r="K439" s="33" t="str">
        <x:v>Sparidae</x:v>
      </x:c>
      <x:c r="L439" s="33" t="str">
        <x:v>Unclassified teleosts</x:v>
      </x:c>
      <x:c r="M439" s="33" t="str">
        <x:v>Teleostei</x:v>
      </x:c>
    </x:row>
    <x:row r="440">
      <x:c r="A440" s="33" t="str">
        <x:v>Broad group</x:v>
      </x:c>
      <x:c r="B440" s="33" t="str">
        <x:v>Ecological proxy</x:v>
      </x:c>
      <x:c r="C440" s="33" t="str">
        <x:v>Unclassified teleosts</x:v>
      </x:c>
      <x:c r="D440" s="33" t="str">
        <x:v>Boops boops</x:v>
      </x:c>
      <x:c r="E440" s="59" t="n">
        <x:v>8</x:v>
      </x:c>
      <x:c r="F440" s="59" t="n">
        <x:v>5.695</x:v>
      </x:c>
      <x:c r="G440" s="59" t="n">
        <x:f>IF(F440="","",F440-E440)</x:f>
        <x:v>-2.3049999999999997</x:v>
      </x:c>
      <x:c r="H440" s="59" t="n">
        <x:f>IF(G440="","",ABS(G440))</x:f>
        <x:v>2.3049999999999997</x:v>
      </x:c>
      <x:c r="I440" s="60" t="n">
        <x:f>IF(G440="","",ABS(G440/E440)*100)</x:f>
        <x:v>28.812499999999996</x:v>
      </x:c>
      <x:c r="J440" s="33" t="str">
        <x:v>Boops</x:v>
      </x:c>
      <x:c r="K440" s="33" t="str">
        <x:v>Sparidae</x:v>
      </x:c>
      <x:c r="L440" s="33" t="str">
        <x:v>Unclassified teleosts</x:v>
      </x:c>
      <x:c r="M440" s="33" t="str">
        <x:v>Teleostei</x:v>
      </x:c>
    </x:row>
    <x:row r="441">
      <x:c r="A441" s="33" t="str">
        <x:v>Broad group</x:v>
      </x:c>
      <x:c r="B441" s="33" t="str">
        <x:v>Ecological proxy</x:v>
      </x:c>
      <x:c r="C441" s="33" t="str">
        <x:v>Unclassified teleosts</x:v>
      </x:c>
      <x:c r="D441" s="33" t="str">
        <x:v>Pagellus acarne</x:v>
      </x:c>
      <x:c r="E441" s="59" t="n">
        <x:v>9.4</x:v>
      </x:c>
      <x:c r="F441" s="59" t="n">
        <x:v>5.695</x:v>
      </x:c>
      <x:c r="G441" s="59" t="n">
        <x:f>IF(F441="","",F441-E441)</x:f>
        <x:v>-3.705</x:v>
      </x:c>
      <x:c r="H441" s="59" t="n">
        <x:f>IF(G441="","",ABS(G441))</x:f>
        <x:v>3.705</x:v>
      </x:c>
      <x:c r="I441" s="60" t="n">
        <x:f>IF(G441="","",ABS(G441/E441)*100)</x:f>
        <x:v>39.41489361702127</x:v>
      </x:c>
      <x:c r="J441" s="33" t="str">
        <x:v>Pagellus</x:v>
      </x:c>
      <x:c r="K441" s="33" t="str">
        <x:v>Sparidae</x:v>
      </x:c>
      <x:c r="L441" s="33" t="str">
        <x:v>Unclassified teleosts</x:v>
      </x:c>
      <x:c r="M441" s="33" t="str">
        <x:v>Teleostei</x:v>
      </x:c>
    </x:row>
    <x:row r="442">
      <x:c r="A442" s="33" t="str">
        <x:v>Broad group</x:v>
      </x:c>
      <x:c r="B442" s="33" t="str">
        <x:v>Ecological proxy</x:v>
      </x:c>
      <x:c r="C442" s="33" t="str">
        <x:v>Unclassified teleosts</x:v>
      </x:c>
      <x:c r="D442" s="33" t="str">
        <x:v>Mullus surmuletus</x:v>
      </x:c>
      <x:c r="E442" s="59" t="n">
        <x:v>6.4</x:v>
      </x:c>
      <x:c r="F442" s="59" t="n">
        <x:v>5.695</x:v>
      </x:c>
      <x:c r="G442" s="59" t="n">
        <x:f>IF(F442="","",F442-E442)</x:f>
        <x:v>-0.7050000000000001</x:v>
      </x:c>
      <x:c r="H442" s="59" t="n">
        <x:f>IF(G442="","",ABS(G442))</x:f>
        <x:v>0.7050000000000001</x:v>
      </x:c>
      <x:c r="I442" s="60" t="n">
        <x:f>IF(G442="","",ABS(G442/E442)*100)</x:f>
        <x:v>11.015625000000002</x:v>
      </x:c>
      <x:c r="J442" s="33" t="str">
        <x:v>Mullus</x:v>
      </x:c>
      <x:c r="K442" s="33" t="str">
        <x:v>Mullidae</x:v>
      </x:c>
      <x:c r="L442" s="33" t="str">
        <x:v>Unclassified teleosts</x:v>
      </x:c>
      <x:c r="M442" s="33" t="str">
        <x:v>Teleostei</x:v>
      </x:c>
    </x:row>
    <x:row r="443">
      <x:c r="A443" s="33" t="str">
        <x:v>Broad group</x:v>
      </x:c>
      <x:c r="B443" s="33" t="str">
        <x:v>Ecological proxy</x:v>
      </x:c>
      <x:c r="C443" s="33" t="str">
        <x:v>Unclassified teleosts</x:v>
      </x:c>
      <x:c r="D443" s="33" t="str">
        <x:v>Cepola macrophthalma</x:v>
      </x:c>
      <x:c r="E443" s="59" t="n">
        <x:v>3.9</x:v>
      </x:c>
      <x:c r="F443" s="59" t="n">
        <x:v>5.695</x:v>
      </x:c>
      <x:c r="G443" s="59" t="n">
        <x:f>IF(F443="","",F443-E443)</x:f>
        <x:v>1.7950000000000004</x:v>
      </x:c>
      <x:c r="H443" s="59" t="n">
        <x:f>IF(G443="","",ABS(G443))</x:f>
        <x:v>1.7950000000000004</x:v>
      </x:c>
      <x:c r="I443" s="60" t="n">
        <x:f>IF(G443="","",ABS(G443/E443)*100)</x:f>
        <x:v>46.025641025641036</x:v>
      </x:c>
      <x:c r="J443" s="33" t="str">
        <x:v>Cepola</x:v>
      </x:c>
      <x:c r="K443" s="33" t="str">
        <x:v>Cepolidae</x:v>
      </x:c>
      <x:c r="L443" s="33" t="str">
        <x:v>Unclassified teleosts</x:v>
      </x:c>
      <x:c r="M443" s="33" t="str">
        <x:v>Teleostei</x:v>
      </x:c>
    </x:row>
    <x:row r="444">
      <x:c r="A444" s="33" t="str">
        <x:v>Broad group</x:v>
      </x:c>
      <x:c r="B444" s="33" t="str">
        <x:v>Ecological proxy</x:v>
      </x:c>
      <x:c r="C444" s="33" t="str">
        <x:v>Unclassified teleosts</x:v>
      </x:c>
      <x:c r="D444" s="33" t="str">
        <x:v>Liza ramada</x:v>
      </x:c>
      <x:c r="E444" s="59" t="n">
        <x:v>6.5</x:v>
      </x:c>
      <x:c r="F444" s="59" t="n">
        <x:v>5.695</x:v>
      </x:c>
      <x:c r="G444" s="59" t="n">
        <x:f>IF(F444="","",F444-E444)</x:f>
        <x:v>-0.8049999999999997</x:v>
      </x:c>
      <x:c r="H444" s="59" t="n">
        <x:f>IF(G444="","",ABS(G444))</x:f>
        <x:v>0.8049999999999997</x:v>
      </x:c>
      <x:c r="I444" s="60" t="n">
        <x:f>IF(G444="","",ABS(G444/E444)*100)</x:f>
        <x:v>12.38461538461538</x:v>
      </x:c>
      <x:c r="J444" s="33" t="str">
        <x:v>Liza</x:v>
      </x:c>
      <x:c r="K444" s="33" t="str">
        <x:v>Mugilidae</x:v>
      </x:c>
      <x:c r="L444" s="33" t="str">
        <x:v>Unclassified teleosts</x:v>
      </x:c>
      <x:c r="M444" s="33" t="str">
        <x:v>Teleostei</x:v>
      </x:c>
    </x:row>
    <x:row r="445">
      <x:c r="A445" s="33" t="str">
        <x:v>Broad group</x:v>
      </x:c>
      <x:c r="B445" s="33" t="str">
        <x:v>Ecological proxy</x:v>
      </x:c>
      <x:c r="C445" s="33" t="str">
        <x:v>Unclassified teleosts</x:v>
      </x:c>
      <x:c r="D445" s="33" t="str">
        <x:v>Labrus bergylta</x:v>
      </x:c>
      <x:c r="E445" s="59" t="n">
        <x:v>5.4</x:v>
      </x:c>
      <x:c r="F445" s="59" t="n">
        <x:v>5.695</x:v>
      </x:c>
      <x:c r="G445" s="59" t="n">
        <x:f>IF(F445="","",F445-E445)</x:f>
        <x:v>0.29499999999999993</x:v>
      </x:c>
      <x:c r="H445" s="59" t="n">
        <x:f>IF(G445="","",ABS(G445))</x:f>
        <x:v>0.29499999999999993</x:v>
      </x:c>
      <x:c r="I445" s="60" t="n">
        <x:f>IF(G445="","",ABS(G445/E445)*100)</x:f>
        <x:v>5.462962962962961</x:v>
      </x:c>
      <x:c r="J445" s="33" t="str">
        <x:v>Labrus</x:v>
      </x:c>
      <x:c r="K445" s="33" t="str">
        <x:v>Labridae</x:v>
      </x:c>
      <x:c r="L445" s="33" t="str">
        <x:v>Unclassified teleosts</x:v>
      </x:c>
      <x:c r="M445" s="33" t="str">
        <x:v>Teleostei</x:v>
      </x:c>
    </x:row>
    <x:row r="446">
      <x:c r="A446" s="33" t="str">
        <x:v>Broad group</x:v>
      </x:c>
      <x:c r="B446" s="33" t="str">
        <x:v>Ecological proxy</x:v>
      </x:c>
      <x:c r="C446" s="33" t="str">
        <x:v>Small pelagic forage fishes</x:v>
      </x:c>
      <x:c r="D446" s="33" t="str">
        <x:v>Hyperoplus lanceolatus</x:v>
      </x:c>
      <x:c r="E446" s="59" t="n">
        <x:v>4.8</x:v>
      </x:c>
      <x:c r="F446" s="59" t="n">
        <x:v>5.4</x:v>
      </x:c>
      <x:c r="G446" s="59" t="n">
        <x:f>IF(F446="","",F446-E446)</x:f>
        <x:v>0.6000000000000005</x:v>
      </x:c>
      <x:c r="H446" s="59" t="n">
        <x:f>IF(G446="","",ABS(G446))</x:f>
        <x:v>0.6000000000000005</x:v>
      </x:c>
      <x:c r="I446" s="60" t="n">
        <x:f>IF(G446="","",ABS(G446/E446)*100)</x:f>
        <x:v>12.50000000000001</x:v>
      </x:c>
      <x:c r="J446" s="33" t="str">
        <x:v>Hyperoplus</x:v>
      </x:c>
      <x:c r="K446" s="33" t="str">
        <x:v>Ammodytidae</x:v>
      </x:c>
      <x:c r="L446" s="33" t="str">
        <x:v>Small pelagic forage fishes</x:v>
      </x:c>
      <x:c r="M446" s="33" t="str">
        <x:v>Teleostei</x:v>
      </x:c>
    </x:row>
    <x:row r="447">
      <x:c r="A447" s="33" t="str">
        <x:v>Broad group</x:v>
      </x:c>
      <x:c r="B447" s="33" t="str">
        <x:v>Ecological proxy</x:v>
      </x:c>
      <x:c r="C447" s="33" t="str">
        <x:v>Small pelagic forage fishes</x:v>
      </x:c>
      <x:c r="D447" s="33" t="str">
        <x:v>Ammodytes tobianus</x:v>
      </x:c>
      <x:c r="E447" s="59" t="n">
        <x:v>5.8</x:v>
      </x:c>
      <x:c r="F447" s="59" t="n">
        <x:v>5.4</x:v>
      </x:c>
      <x:c r="G447" s="59" t="n">
        <x:f>IF(F447="","",F447-E447)</x:f>
        <x:v>-0.39999999999999947</x:v>
      </x:c>
      <x:c r="H447" s="59" t="n">
        <x:f>IF(G447="","",ABS(G447))</x:f>
        <x:v>0.39999999999999947</x:v>
      </x:c>
      <x:c r="I447" s="60" t="n">
        <x:f>IF(G447="","",ABS(G447/E447)*100)</x:f>
        <x:v>6.896551724137923</x:v>
      </x:c>
      <x:c r="J447" s="33" t="str">
        <x:v>Ammodytes</x:v>
      </x:c>
      <x:c r="K447" s="33" t="str">
        <x:v>Ammodytidae</x:v>
      </x:c>
      <x:c r="L447" s="33" t="str">
        <x:v>Small pelagic forage fishes</x:v>
      </x:c>
      <x:c r="M447" s="33" t="str">
        <x:v>Teleostei</x:v>
      </x:c>
    </x:row>
    <x:row r="448">
      <x:c r="A448" s="33" t="str">
        <x:v>Broad group</x:v>
      </x:c>
      <x:c r="B448" s="33" t="str">
        <x:v>Ecological proxy</x:v>
      </x:c>
      <x:c r="C448" s="33" t="str">
        <x:v>Unclassified teleosts</x:v>
      </x:c>
      <x:c r="D448" s="33" t="str">
        <x:v>Trachinus draco</x:v>
      </x:c>
      <x:c r="E448" s="59" t="n">
        <x:v>5.3</x:v>
      </x:c>
      <x:c r="F448" s="59" t="n">
        <x:v>5.695</x:v>
      </x:c>
      <x:c r="G448" s="59" t="n">
        <x:f>IF(F448="","",F448-E448)</x:f>
        <x:v>0.39500000000000046</x:v>
      </x:c>
      <x:c r="H448" s="59" t="n">
        <x:f>IF(G448="","",ABS(G448))</x:f>
        <x:v>0.39500000000000046</x:v>
      </x:c>
      <x:c r="I448" s="60" t="n">
        <x:f>IF(G448="","",ABS(G448/E448)*100)</x:f>
        <x:v>7.452830188679255</x:v>
      </x:c>
      <x:c r="J448" s="33" t="str">
        <x:v>Trachinus</x:v>
      </x:c>
      <x:c r="K448" s="33" t="str">
        <x:v>Trachinidae</x:v>
      </x:c>
      <x:c r="L448" s="33" t="str">
        <x:v>Unclassified teleosts</x:v>
      </x:c>
      <x:c r="M448" s="33" t="str">
        <x:v>Teleostei</x:v>
      </x:c>
    </x:row>
    <x:row r="449">
      <x:c r="A449" s="33" t="str">
        <x:v>Broad group</x:v>
      </x:c>
      <x:c r="B449" s="33" t="str">
        <x:v>Ecological proxy</x:v>
      </x:c>
      <x:c r="C449" s="33" t="str">
        <x:v>Unclassified teleosts</x:v>
      </x:c>
      <x:c r="D449" s="33" t="str">
        <x:v>Paralipophrys trigloides</x:v>
      </x:c>
      <x:c r="E449" s="59" t="n">
        <x:v>5.5</x:v>
      </x:c>
      <x:c r="F449" s="59" t="n">
        <x:v>5.695</x:v>
      </x:c>
      <x:c r="G449" s="59" t="n">
        <x:f>IF(F449="","",F449-E449)</x:f>
        <x:v>0.19500000000000028</x:v>
      </x:c>
      <x:c r="H449" s="59" t="n">
        <x:f>IF(G449="","",ABS(G449))</x:f>
        <x:v>0.19500000000000028</x:v>
      </x:c>
      <x:c r="I449" s="60" t="n">
        <x:f>IF(G449="","",ABS(G449/E449)*100)</x:f>
        <x:v>3.5454545454545507</x:v>
      </x:c>
      <x:c r="J449" s="33" t="str">
        <x:v>Paralipophrys</x:v>
      </x:c>
      <x:c r="K449" s="33" t="str">
        <x:v>Blenniidae</x:v>
      </x:c>
      <x:c r="L449" s="33" t="str">
        <x:v>Unclassified teleosts</x:v>
      </x:c>
      <x:c r="M449" s="33" t="str">
        <x:v>Teleostei</x:v>
      </x:c>
    </x:row>
    <x:row r="450">
      <x:c r="A450" s="33" t="str">
        <x:v>Broad group</x:v>
      </x:c>
      <x:c r="B450" s="33" t="str">
        <x:v>Ecological proxy</x:v>
      </x:c>
      <x:c r="C450" s="33" t="str">
        <x:v>Unclassified teleosts</x:v>
      </x:c>
      <x:c r="D450" s="33" t="str">
        <x:v>Callionymus lyra</x:v>
      </x:c>
      <x:c r="E450" s="59" t="n">
        <x:v>5.2</x:v>
      </x:c>
      <x:c r="F450" s="59" t="n">
        <x:v>5.695</x:v>
      </x:c>
      <x:c r="G450" s="59" t="n">
        <x:f>IF(F450="","",F450-E450)</x:f>
        <x:v>0.4950000000000001</x:v>
      </x:c>
      <x:c r="H450" s="59" t="n">
        <x:f>IF(G450="","",ABS(G450))</x:f>
        <x:v>0.4950000000000001</x:v>
      </x:c>
      <x:c r="I450" s="60" t="n">
        <x:f>IF(G450="","",ABS(G450/E450)*100)</x:f>
        <x:v>9.519230769230772</x:v>
      </x:c>
      <x:c r="J450" s="33" t="str">
        <x:v>Callionymus</x:v>
      </x:c>
      <x:c r="K450" s="33" t="str">
        <x:v>Callionymidae</x:v>
      </x:c>
      <x:c r="L450" s="33" t="str">
        <x:v>Unclassified teleosts</x:v>
      </x:c>
      <x:c r="M450" s="33" t="str">
        <x:v>Teleostei</x:v>
      </x:c>
    </x:row>
    <x:row r="451">
      <x:c r="A451" s="33" t="str">
        <x:v>Broad group</x:v>
      </x:c>
      <x:c r="B451" s="33" t="str">
        <x:v>Ecological proxy</x:v>
      </x:c>
      <x:c r="C451" s="33" t="str">
        <x:v>Unclassified teleosts</x:v>
      </x:c>
      <x:c r="D451" s="33" t="str">
        <x:v>Lesueurigobius friesii</x:v>
      </x:c>
      <x:c r="E451" s="59" t="n">
        <x:v>5.6</x:v>
      </x:c>
      <x:c r="F451" s="59" t="n">
        <x:v>5.695</x:v>
      </x:c>
      <x:c r="G451" s="59" t="n">
        <x:f>IF(F451="","",F451-E451)</x:f>
        <x:v>0.09500000000000064</x:v>
      </x:c>
      <x:c r="H451" s="59" t="n">
        <x:f>IF(G451="","",ABS(G451))</x:f>
        <x:v>0.09500000000000064</x:v>
      </x:c>
      <x:c r="I451" s="60" t="n">
        <x:f>IF(G451="","",ABS(G451/E451)*100)</x:f>
        <x:v>1.6964285714285832</x:v>
      </x:c>
      <x:c r="J451" s="33" t="str">
        <x:v>Lesueurigobius</x:v>
      </x:c>
      <x:c r="K451" s="33" t="str">
        <x:v>Gobiidae</x:v>
      </x:c>
      <x:c r="L451" s="33" t="str">
        <x:v>Unclassified teleosts</x:v>
      </x:c>
      <x:c r="M451" s="33" t="str">
        <x:v>Teleostei</x:v>
      </x:c>
    </x:row>
    <x:row r="452">
      <x:c r="A452" s="33" t="str">
        <x:v>Broad group</x:v>
      </x:c>
      <x:c r="B452" s="33" t="str">
        <x:v>Ecological proxy</x:v>
      </x:c>
      <x:c r="C452" s="33" t="str">
        <x:v>Small pelagic forage fishes</x:v>
      </x:c>
      <x:c r="D452" s="33" t="str">
        <x:v>Scomber scombrus</x:v>
      </x:c>
      <x:c r="E452" s="59" t="n">
        <x:v>6.815</x:v>
      </x:c>
      <x:c r="F452" s="59" t="n">
        <x:v>5.4</x:v>
      </x:c>
      <x:c r="G452" s="59" t="n">
        <x:f>IF(F452="","",F452-E452)</x:f>
        <x:v>-1.415</x:v>
      </x:c>
      <x:c r="H452" s="59" t="n">
        <x:f>IF(G452="","",ABS(G452))</x:f>
        <x:v>1.415</x:v>
      </x:c>
      <x:c r="I452" s="60" t="n">
        <x:f>IF(G452="","",ABS(G452/E452)*100)</x:f>
        <x:v>20.763022743947175</x:v>
      </x:c>
      <x:c r="J452" s="33" t="str">
        <x:v>Scomber</x:v>
      </x:c>
      <x:c r="K452" s="33" t="str">
        <x:v>Scombridae</x:v>
      </x:c>
      <x:c r="L452" s="33" t="str">
        <x:v>Small pelagic forage fishes</x:v>
      </x:c>
      <x:c r="M452" s="33" t="str">
        <x:v>Teleostei</x:v>
      </x:c>
    </x:row>
    <x:row r="453">
      <x:c r="A453" s="33" t="str">
        <x:v>Broad group</x:v>
      </x:c>
      <x:c r="B453" s="33" t="str">
        <x:v>Ecological proxy</x:v>
      </x:c>
      <x:c r="C453" s="33" t="str">
        <x:v>Demersal flatfishes</x:v>
      </x:c>
      <x:c r="D453" s="33" t="str">
        <x:v>Lepidorhombus whiffiagonis</x:v>
      </x:c>
      <x:c r="E453" s="59" t="n">
        <x:v>6.1</x:v>
      </x:c>
      <x:c r="F453" s="59" t="n">
        <x:v>5.64</x:v>
      </x:c>
      <x:c r="G453" s="59" t="n">
        <x:f>IF(F453="","",F453-E453)</x:f>
        <x:v>-0.45999999999999996</x:v>
      </x:c>
      <x:c r="H453" s="59" t="n">
        <x:f>IF(G453="","",ABS(G453))</x:f>
        <x:v>0.45999999999999996</x:v>
      </x:c>
      <x:c r="I453" s="60" t="n">
        <x:f>IF(G453="","",ABS(G453/E453)*100)</x:f>
        <x:v>7.5409836065573765</x:v>
      </x:c>
      <x:c r="J453" s="33" t="str">
        <x:v>Lepidorhombus</x:v>
      </x:c>
      <x:c r="K453" s="33" t="str">
        <x:v>Scophthalmidae</x:v>
      </x:c>
      <x:c r="L453" s="33" t="str">
        <x:v>Demersal flatfishes</x:v>
      </x:c>
      <x:c r="M453" s="33" t="str">
        <x:v>Teleostei</x:v>
      </x:c>
    </x:row>
    <x:row r="454">
      <x:c r="A454" s="33" t="str">
        <x:v>Broad group</x:v>
      </x:c>
      <x:c r="B454" s="33" t="str">
        <x:v>Ecological proxy</x:v>
      </x:c>
      <x:c r="C454" s="33" t="str">
        <x:v>Demersal flatfishes</x:v>
      </x:c>
      <x:c r="D454" s="33" t="str">
        <x:v>Arnoglossus imperialis</x:v>
      </x:c>
      <x:c r="E454" s="59" t="n">
        <x:v>5.4</x:v>
      </x:c>
      <x:c r="F454" s="59" t="n">
        <x:v>5.64</x:v>
      </x:c>
      <x:c r="G454" s="59" t="n">
        <x:f>IF(F454="","",F454-E454)</x:f>
        <x:v>0.23999999999999932</x:v>
      </x:c>
      <x:c r="H454" s="59" t="n">
        <x:f>IF(G454="","",ABS(G454))</x:f>
        <x:v>0.23999999999999932</x:v>
      </x:c>
      <x:c r="I454" s="60" t="n">
        <x:f>IF(G454="","",ABS(G454/E454)*100)</x:f>
        <x:v>4.444444444444431</x:v>
      </x:c>
      <x:c r="J454" s="33" t="str">
        <x:v>Arnoglossus</x:v>
      </x:c>
      <x:c r="K454" s="33" t="str">
        <x:v>Bothidae</x:v>
      </x:c>
      <x:c r="L454" s="33" t="str">
        <x:v>Demersal flatfishes</x:v>
      </x:c>
      <x:c r="M454" s="33" t="str">
        <x:v>Teleostei</x:v>
      </x:c>
    </x:row>
    <x:row r="455">
      <x:c r="A455" s="33" t="str">
        <x:v>Broad group</x:v>
      </x:c>
      <x:c r="B455" s="33" t="str">
        <x:v>Ecological proxy</x:v>
      </x:c>
      <x:c r="C455" s="33" t="str">
        <x:v>Demersal flatfishes</x:v>
      </x:c>
      <x:c r="D455" s="33" t="str">
        <x:v>Glyptocephalus cynoglossus</x:v>
      </x:c>
      <x:c r="E455" s="59" t="n">
        <x:v>5.6</x:v>
      </x:c>
      <x:c r="F455" s="59" t="n">
        <x:v>5.64</x:v>
      </x:c>
      <x:c r="G455" s="59" t="n">
        <x:f>IF(F455="","",F455-E455)</x:f>
        <x:v>0.040000000000000036</x:v>
      </x:c>
      <x:c r="H455" s="59" t="n">
        <x:f>IF(G455="","",ABS(G455))</x:f>
        <x:v>0.040000000000000036</x:v>
      </x:c>
      <x:c r="I455" s="60" t="n">
        <x:f>IF(G455="","",ABS(G455/E455)*100)</x:f>
        <x:v>0.714285714285715</x:v>
      </x:c>
      <x:c r="J455" s="33" t="str">
        <x:v>Glyptocephalus</x:v>
      </x:c>
      <x:c r="K455" s="33" t="str">
        <x:v>Pleuronectidae</x:v>
      </x:c>
      <x:c r="L455" s="33" t="str">
        <x:v>Demersal flatfishes</x:v>
      </x:c>
      <x:c r="M455" s="33" t="str">
        <x:v>Teleostei</x:v>
      </x:c>
    </x:row>
    <x:row r="456">
      <x:c r="A456" s="33" t="str">
        <x:v>Broad group</x:v>
      </x:c>
      <x:c r="B456" s="33" t="str">
        <x:v>Ecological proxy</x:v>
      </x:c>
      <x:c r="C456" s="33" t="str">
        <x:v>Demersal flatfishes</x:v>
      </x:c>
      <x:c r="D456" s="33" t="str">
        <x:v>Microstomus kitt</x:v>
      </x:c>
      <x:c r="E456" s="59" t="n">
        <x:v>5.8</x:v>
      </x:c>
      <x:c r="F456" s="59" t="n">
        <x:v>5.64</x:v>
      </x:c>
      <x:c r="G456" s="59" t="n">
        <x:f>IF(F456="","",F456-E456)</x:f>
        <x:v>-0.16000000000000014</x:v>
      </x:c>
      <x:c r="H456" s="59" t="n">
        <x:f>IF(G456="","",ABS(G456))</x:f>
        <x:v>0.16000000000000014</x:v>
      </x:c>
      <x:c r="I456" s="60" t="n">
        <x:f>IF(G456="","",ABS(G456/E456)*100)</x:f>
        <x:v>2.758620689655175</x:v>
      </x:c>
      <x:c r="J456" s="33" t="str">
        <x:v>Microstomus</x:v>
      </x:c>
      <x:c r="K456" s="33" t="str">
        <x:v>Pleuronectidae</x:v>
      </x:c>
      <x:c r="L456" s="33" t="str">
        <x:v>Demersal flatfishes</x:v>
      </x:c>
      <x:c r="M456" s="33" t="str">
        <x:v>Teleostei</x:v>
      </x:c>
    </x:row>
    <x:row r="457">
      <x:c r="A457" s="33" t="str">
        <x:v>Broad group</x:v>
      </x:c>
      <x:c r="B457" s="33" t="str">
        <x:v>Ecological proxy</x:v>
      </x:c>
      <x:c r="C457" s="33" t="str">
        <x:v>Demersal flatfishes</x:v>
      </x:c>
      <x:c r="D457" s="33" t="str">
        <x:v>Pleuronectes platessa</x:v>
      </x:c>
      <x:c r="E457" s="59" t="n">
        <x:v>5.8</x:v>
      </x:c>
      <x:c r="F457" s="59" t="n">
        <x:v>5.64</x:v>
      </x:c>
      <x:c r="G457" s="59" t="n">
        <x:f>IF(F457="","",F457-E457)</x:f>
        <x:v>-0.16000000000000014</x:v>
      </x:c>
      <x:c r="H457" s="59" t="n">
        <x:f>IF(G457="","",ABS(G457))</x:f>
        <x:v>0.16000000000000014</x:v>
      </x:c>
      <x:c r="I457" s="60" t="n">
        <x:f>IF(G457="","",ABS(G457/E457)*100)</x:f>
        <x:v>2.758620689655175</x:v>
      </x:c>
      <x:c r="J457" s="33" t="str">
        <x:v>Pleuronectes</x:v>
      </x:c>
      <x:c r="K457" s="33" t="str">
        <x:v>Pleuronectidae</x:v>
      </x:c>
      <x:c r="L457" s="33" t="str">
        <x:v>Demersal flatfishes</x:v>
      </x:c>
      <x:c r="M457" s="33" t="str">
        <x:v>Teleostei</x:v>
      </x:c>
    </x:row>
    <x:row r="458">
      <x:c r="A458" s="33" t="str">
        <x:v>Broad group</x:v>
      </x:c>
      <x:c r="B458" s="33" t="str">
        <x:v>Ecological proxy</x:v>
      </x:c>
      <x:c r="C458" s="33" t="str">
        <x:v>Demersal flatfishes</x:v>
      </x:c>
      <x:c r="D458" s="33" t="str">
        <x:v>Solea solea</x:v>
      </x:c>
      <x:c r="E458" s="59" t="n">
        <x:v>5</x:v>
      </x:c>
      <x:c r="F458" s="59" t="n">
        <x:v>5.64</x:v>
      </x:c>
      <x:c r="G458" s="59" t="n">
        <x:f>IF(F458="","",F458-E458)</x:f>
        <x:v>0.6399999999999997</x:v>
      </x:c>
      <x:c r="H458" s="59" t="n">
        <x:f>IF(G458="","",ABS(G458))</x:f>
        <x:v>0.6399999999999997</x:v>
      </x:c>
      <x:c r="I458" s="60" t="n">
        <x:f>IF(G458="","",ABS(G458/E458)*100)</x:f>
        <x:v>12.799999999999995</x:v>
      </x:c>
      <x:c r="J458" s="33" t="str">
        <x:v>Solea</x:v>
      </x:c>
      <x:c r="K458" s="33" t="str">
        <x:v>Soleidae</x:v>
      </x:c>
      <x:c r="L458" s="33" t="str">
        <x:v>Demersal flatfishes</x:v>
      </x:c>
      <x:c r="M458" s="33" t="str">
        <x:v>Teleostei</x:v>
      </x:c>
    </x:row>
    <x:row r="459">
      <x:c r="A459" s="33" t="str">
        <x:v>Broad group</x:v>
      </x:c>
      <x:c r="B459" s="33" t="str">
        <x:v>Ecological proxy</x:v>
      </x:c>
      <x:c r="C459" s="33" t="str">
        <x:v>Demersal flatfishes</x:v>
      </x:c>
      <x:c r="D459" s="33" t="str">
        <x:v>Dicologlossa cuneata</x:v>
      </x:c>
      <x:c r="E459" s="59" t="n">
        <x:v>6.5</x:v>
      </x:c>
      <x:c r="F459" s="59" t="n">
        <x:v>5.64</x:v>
      </x:c>
      <x:c r="G459" s="59" t="n">
        <x:f>IF(F459="","",F459-E459)</x:f>
        <x:v>-0.8600000000000003</x:v>
      </x:c>
      <x:c r="H459" s="59" t="n">
        <x:f>IF(G459="","",ABS(G459))</x:f>
        <x:v>0.8600000000000003</x:v>
      </x:c>
      <x:c r="I459" s="60" t="n">
        <x:f>IF(G459="","",ABS(G459/E459)*100)</x:f>
        <x:v>13.230769230769235</x:v>
      </x:c>
      <x:c r="J459" s="33" t="str">
        <x:v>Dicologlossa</x:v>
      </x:c>
      <x:c r="K459" s="33" t="str">
        <x:v>Soleidae</x:v>
      </x:c>
      <x:c r="L459" s="33" t="str">
        <x:v>Demersal flatfishes</x:v>
      </x:c>
      <x:c r="M459" s="33" t="str">
        <x:v>Teleostei</x:v>
      </x:c>
    </x:row>
    <x:row r="460">
      <x:c r="A460" s="33" t="str">
        <x:v>Broad group</x:v>
      </x:c>
      <x:c r="B460" s="33" t="str">
        <x:v>Ecological proxy</x:v>
      </x:c>
      <x:c r="C460" s="33" t="str">
        <x:v>Other benthic polychaetes</x:v>
      </x:c>
      <x:c r="D460" s="33" t="str">
        <x:v>Aglaophamus australiensis</x:v>
      </x:c>
      <x:c r="E460" s="59" t="n">
        <x:v>1.06</x:v>
      </x:c>
      <x:c r="F460" s="59" t="n">
        <x:v>1.335</x:v>
      </x:c>
      <x:c r="G460" s="59" t="n">
        <x:f>IF(F460="","",F460-E460)</x:f>
        <x:v>0.2749999999999999</x:v>
      </x:c>
      <x:c r="H460" s="59" t="n">
        <x:f>IF(G460="","",ABS(G460))</x:f>
        <x:v>0.2749999999999999</x:v>
      </x:c>
      <x:c r="I460" s="60" t="n">
        <x:f>IF(G460="","",ABS(G460/E460)*100)</x:f>
        <x:v>25.943396226415082</x:v>
      </x:c>
      <x:c r="J460" s="33" t="str">
        <x:v>Aglaophamus</x:v>
      </x:c>
      <x:c r="K460" s="33" t="str">
        <x:v>Nephtyidae</x:v>
      </x:c>
      <x:c r="L460" s="33" t="str">
        <x:v>Other benthic polychaetes</x:v>
      </x:c>
      <x:c r="M460" s="33" t="str">
        <x:v>Annelida</x:v>
      </x:c>
    </x:row>
    <x:row r="461">
      <x:c r="A461" s="33" t="str">
        <x:v>Broad group</x:v>
      </x:c>
      <x:c r="B461" s="33" t="str">
        <x:v>Ecological proxy</x:v>
      </x:c>
      <x:c r="C461" s="33" t="str">
        <x:v>Other benthic polychaetes</x:v>
      </x:c>
      <x:c r="D461" s="33" t="str">
        <x:v>Australonereis ehlersi</x:v>
      </x:c>
      <x:c r="E461" s="59" t="n">
        <x:v>1.28</x:v>
      </x:c>
      <x:c r="F461" s="59" t="n">
        <x:v>1.335</x:v>
      </x:c>
      <x:c r="G461" s="59" t="n">
        <x:f>IF(F461="","",F461-E461)</x:f>
        <x:v>0.05499999999999994</x:v>
      </x:c>
      <x:c r="H461" s="59" t="n">
        <x:f>IF(G461="","",ABS(G461))</x:f>
        <x:v>0.05499999999999994</x:v>
      </x:c>
      <x:c r="I461" s="60" t="n">
        <x:f>IF(G461="","",ABS(G461/E461)*100)</x:f>
        <x:v>4.296874999999996</x:v>
      </x:c>
      <x:c r="J461" s="33" t="str">
        <x:v>Australonereis</x:v>
      </x:c>
      <x:c r="K461" s="33" t="str">
        <x:v>Nereididae</x:v>
      </x:c>
      <x:c r="L461" s="33" t="str">
        <x:v>Other benthic polychaetes</x:v>
      </x:c>
      <x:c r="M461" s="33" t="str">
        <x:v>Annelida</x:v>
      </x:c>
    </x:row>
    <x:row r="462">
      <x:c r="A462" s="33" t="str">
        <x:v>Broad group</x:v>
      </x:c>
      <x:c r="B462" s="33" t="str">
        <x:v>Ecological proxy</x:v>
      </x:c>
      <x:c r="C462" s="33" t="str">
        <x:v>Other benthic polychaetes</x:v>
      </x:c>
      <x:c r="D462" s="33" t="str">
        <x:v>Phyllodoce novaehollandiae</x:v>
      </x:c>
      <x:c r="E462" s="59" t="n">
        <x:v>0.96</x:v>
      </x:c>
      <x:c r="F462" s="59" t="n">
        <x:v>1.335</x:v>
      </x:c>
      <x:c r="G462" s="59" t="n">
        <x:f>IF(F462="","",F462-E462)</x:f>
        <x:v>0.375</x:v>
      </x:c>
      <x:c r="H462" s="59" t="n">
        <x:f>IF(G462="","",ABS(G462))</x:f>
        <x:v>0.375</x:v>
      </x:c>
      <x:c r="I462" s="60" t="n">
        <x:f>IF(G462="","",ABS(G462/E462)*100)</x:f>
        <x:v>39.0625</x:v>
      </x:c>
      <x:c r="J462" s="33" t="str">
        <x:v>Phyllodoce</x:v>
      </x:c>
      <x:c r="K462" s="33" t="str">
        <x:v>Phyllodocidae</x:v>
      </x:c>
      <x:c r="L462" s="33" t="str">
        <x:v>Other benthic polychaetes</x:v>
      </x:c>
      <x:c r="M462" s="33" t="str">
        <x:v>Annelida</x:v>
      </x:c>
    </x:row>
    <x:row r="463">
      <x:c r="A463" s="33" t="str">
        <x:v>Broad group</x:v>
      </x:c>
      <x:c r="B463" s="33" t="str">
        <x:v>Ecological proxy</x:v>
      </x:c>
      <x:c r="C463" s="33" t="str">
        <x:v>Other benthic polychaetes</x:v>
      </x:c>
      <x:c r="D463" s="33" t="str">
        <x:v>Simplisetia aequisetis</x:v>
      </x:c>
      <x:c r="E463" s="59" t="n">
        <x:v>1.05</x:v>
      </x:c>
      <x:c r="F463" s="59" t="n">
        <x:v>1.335</x:v>
      </x:c>
      <x:c r="G463" s="59" t="n">
        <x:f>IF(F463="","",F463-E463)</x:f>
        <x:v>0.2849999999999999</x:v>
      </x:c>
      <x:c r="H463" s="59" t="n">
        <x:f>IF(G463="","",ABS(G463))</x:f>
        <x:v>0.2849999999999999</x:v>
      </x:c>
      <x:c r="I463" s="60" t="n">
        <x:f>IF(G463="","",ABS(G463/E463)*100)</x:f>
        <x:v>27.142857142857135</x:v>
      </x:c>
      <x:c r="J463" s="33" t="str">
        <x:v>Simplisetia</x:v>
      </x:c>
      <x:c r="K463" s="33" t="str">
        <x:v>Nereididae</x:v>
      </x:c>
      <x:c r="L463" s="33" t="str">
        <x:v>Other benthic polychaetes</x:v>
      </x:c>
      <x:c r="M463" s="33" t="str">
        <x:v>Annelida</x:v>
      </x:c>
    </x:row>
    <x:row r="464">
      <x:c r="A464" s="33" t="str">
        <x:v>Broad group</x:v>
      </x:c>
      <x:c r="B464" s="33" t="str">
        <x:v>Ecological proxy</x:v>
      </x:c>
      <x:c r="C464" s="33" t="str">
        <x:v>Tube-dwelling polychaetes</x:v>
      </x:c>
      <x:c r="D464" s="33" t="str">
        <x:v>Ficopomatus enigmaticus</x:v>
      </x:c>
      <x:c r="E464" s="59" t="n">
        <x:v>1.45</x:v>
      </x:c>
      <x:c r="F464" s="59" t="n">
        <x:v>1.25</x:v>
      </x:c>
      <x:c r="G464" s="59" t="n">
        <x:f>IF(F464="","",F464-E464)</x:f>
        <x:v>-0.19999999999999996</x:v>
      </x:c>
      <x:c r="H464" s="59" t="n">
        <x:f>IF(G464="","",ABS(G464))</x:f>
        <x:v>0.19999999999999996</x:v>
      </x:c>
      <x:c r="I464" s="60" t="n">
        <x:f>IF(G464="","",ABS(G464/E464)*100)</x:f>
        <x:v>13.79310344827586</x:v>
      </x:c>
      <x:c r="J464" s="33" t="str">
        <x:v>Ficopomatus</x:v>
      </x:c>
      <x:c r="K464" s="33" t="str">
        <x:v>Serpulidae</x:v>
      </x:c>
      <x:c r="L464" s="33" t="str">
        <x:v>Tube-dwelling polychaetes</x:v>
      </x:c>
      <x:c r="M464" s="33" t="str">
        <x:v>Annelida</x:v>
      </x:c>
    </x:row>
    <x:row r="465">
      <x:c r="A465" s="33" t="str">
        <x:v>Broad group</x:v>
      </x:c>
      <x:c r="B465" s="33" t="str">
        <x:v>Ecological proxy</x:v>
      </x:c>
      <x:c r="C465" s="33" t="str">
        <x:v>Subtidal benthic molluscs</x:v>
      </x:c>
      <x:c r="D465" s="33" t="str">
        <x:v>Hiatula alba</x:v>
      </x:c>
      <x:c r="E465" s="59" t="n">
        <x:v>1.76</x:v>
      </x:c>
      <x:c r="F465" s="59" t="n">
        <x:v>2.15</x:v>
      </x:c>
      <x:c r="G465" s="59" t="n">
        <x:f>IF(F465="","",F465-E465)</x:f>
        <x:v>0.3899999999999999</x:v>
      </x:c>
      <x:c r="H465" s="59" t="n">
        <x:f>IF(G465="","",ABS(G465))</x:f>
        <x:v>0.3899999999999999</x:v>
      </x:c>
      <x:c r="I465" s="60" t="n">
        <x:f>IF(G465="","",ABS(G465/E465)*100)</x:f>
        <x:v>22.159090909090903</x:v>
      </x:c>
      <x:c r="J465" s="33" t="str">
        <x:v>Hiatula</x:v>
      </x:c>
      <x:c r="K465" s="33"/>
      <x:c r="L465" s="33" t="str">
        <x:v>Subtidal benthic molluscs</x:v>
      </x:c>
      <x:c r="M465" s="33" t="str">
        <x:v>Mollusca (non-cephalopods)</x:v>
      </x:c>
    </x:row>
    <x:row r="466">
      <x:c r="A466" s="33" t="str">
        <x:v>Broad group</x:v>
      </x:c>
      <x:c r="B466" s="33" t="str">
        <x:v>Ecological proxy</x:v>
      </x:c>
      <x:c r="C466" s="33" t="str">
        <x:v>Benthic bivalves</x:v>
      </x:c>
      <x:c r="D466" s="33" t="str">
        <x:v>Spisula trigonella</x:v>
      </x:c>
      <x:c r="E466" s="59" t="n">
        <x:v>2.15</x:v>
      </x:c>
      <x:c r="F466" s="59" t="n">
        <x:v>2.39</x:v>
      </x:c>
      <x:c r="G466" s="59" t="n">
        <x:f>IF(F466="","",F466-E466)</x:f>
        <x:v>0.2400000000000002</x:v>
      </x:c>
      <x:c r="H466" s="59" t="n">
        <x:f>IF(G466="","",ABS(G466))</x:f>
        <x:v>0.2400000000000002</x:v>
      </x:c>
      <x:c r="I466" s="60" t="n">
        <x:f>IF(G466="","",ABS(G466/E466)*100)</x:f>
        <x:v>11.16279069767443</x:v>
      </x:c>
      <x:c r="J466" s="33" t="str">
        <x:v>Spisula</x:v>
      </x:c>
      <x:c r="K466" s="33" t="str">
        <x:v>Mactridae</x:v>
      </x:c>
      <x:c r="L466" s="33" t="str">
        <x:v>Benthic bivalves</x:v>
      </x:c>
      <x:c r="M466" s="33" t="str">
        <x:v>Mollusca (non-cephalopods)</x:v>
      </x:c>
    </x:row>
    <x:row r="467">
      <x:c r="A467" s="33" t="str">
        <x:v>Broad group</x:v>
      </x:c>
      <x:c r="B467" s="33" t="str">
        <x:v>Ecological proxy</x:v>
      </x:c>
      <x:c r="C467" s="33" t="str">
        <x:v>Benthic decapods</x:v>
      </x:c>
      <x:c r="D467" s="33" t="str">
        <x:v>Amarinus laevis</x:v>
      </x:c>
      <x:c r="E467" s="59" t="n">
        <x:v>2.13</x:v>
      </x:c>
      <x:c r="F467" s="59" t="n">
        <x:v>3.87</x:v>
      </x:c>
      <x:c r="G467" s="59" t="n">
        <x:f>IF(F467="","",F467-E467)</x:f>
        <x:v>1.7400000000000002</x:v>
      </x:c>
      <x:c r="H467" s="59" t="n">
        <x:f>IF(G467="","",ABS(G467))</x:f>
        <x:v>1.7400000000000002</x:v>
      </x:c>
      <x:c r="I467" s="60" t="n">
        <x:f>IF(G467="","",ABS(G467/E467)*100)</x:f>
        <x:v>81.69014084507043</x:v>
      </x:c>
      <x:c r="J467" s="33" t="str">
        <x:v>Amarinus</x:v>
      </x:c>
      <x:c r="K467" s="33" t="str">
        <x:v>Hymenosomatidae</x:v>
      </x:c>
      <x:c r="L467" s="33" t="str">
        <x:v>Benthic decapods</x:v>
      </x:c>
      <x:c r="M467" s="33" t="str">
        <x:v>Crustacea</x:v>
      </x:c>
    </x:row>
    <x:row r="468">
      <x:c r="A468" s="33" t="str">
        <x:v>Broad group</x:v>
      </x:c>
      <x:c r="B468" s="33" t="str">
        <x:v>Ecological proxy</x:v>
      </x:c>
      <x:c r="C468" s="33" t="str">
        <x:v>Benthic decapods</x:v>
      </x:c>
      <x:c r="D468" s="33" t="str">
        <x:v>Paragrapsus gaimardii</x:v>
      </x:c>
      <x:c r="E468" s="59" t="n">
        <x:v>3.64</x:v>
      </x:c>
      <x:c r="F468" s="59" t="n">
        <x:v>3.87</x:v>
      </x:c>
      <x:c r="G468" s="59" t="n">
        <x:f>IF(F468="","",F468-E468)</x:f>
        <x:v>0.22999999999999998</x:v>
      </x:c>
      <x:c r="H468" s="59" t="n">
        <x:f>IF(G468="","",ABS(G468))</x:f>
        <x:v>0.22999999999999998</x:v>
      </x:c>
      <x:c r="I468" s="60" t="n">
        <x:f>IF(G468="","",ABS(G468/E468)*100)</x:f>
        <x:v>6.318681318681318</x:v>
      </x:c>
      <x:c r="J468" s="33" t="str">
        <x:v>Paragrapsus</x:v>
      </x:c>
      <x:c r="K468" s="33" t="str">
        <x:v>Varunidae</x:v>
      </x:c>
      <x:c r="L468" s="33" t="str">
        <x:v>Benthic decapods</x:v>
      </x:c>
      <x:c r="M468" s="33" t="str">
        <x:v>Crustacea</x:v>
      </x:c>
    </x:row>
    <x:row r="469">
      <x:c r="A469" s="33" t="str">
        <x:v>Broad group</x:v>
      </x:c>
      <x:c r="B469" s="33" t="str">
        <x:v>Ecological proxy</x:v>
      </x:c>
      <x:c r="C469" s="33" t="str">
        <x:v>Coastal surface-dwelling fishes</x:v>
      </x:c>
      <x:c r="D469" s="33" t="str">
        <x:v>Hyporhamphus regularis</x:v>
      </x:c>
      <x:c r="E469" s="59" t="n">
        <x:v>5.83</x:v>
      </x:c>
      <x:c r="F469" s="59" t="n">
        <x:v>5.6</x:v>
      </x:c>
      <x:c r="G469" s="59" t="n">
        <x:f>IF(F469="","",F469-E469)</x:f>
        <x:v>-0.23000000000000043</x:v>
      </x:c>
      <x:c r="H469" s="59" t="n">
        <x:f>IF(G469="","",ABS(G469))</x:f>
        <x:v>0.23000000000000043</x:v>
      </x:c>
      <x:c r="I469" s="60" t="n">
        <x:f>IF(G469="","",ABS(G469/E469)*100)</x:f>
        <x:v>3.9451114922813106</x:v>
      </x:c>
      <x:c r="J469" s="33" t="str">
        <x:v>Hyporhamphus</x:v>
      </x:c>
      <x:c r="K469" s="33" t="str">
        <x:v>Hemiramphidae</x:v>
      </x:c>
      <x:c r="L469" s="33" t="str">
        <x:v>Coastal surface-dwelling fishes</x:v>
      </x:c>
      <x:c r="M469" s="33" t="str">
        <x:v>Teleostei</x:v>
      </x:c>
    </x:row>
    <x:row r="470">
      <x:c r="A470" s="33" t="str">
        <x:v>Broad group</x:v>
      </x:c>
      <x:c r="B470" s="33" t="str">
        <x:v>Ecological proxy</x:v>
      </x:c>
      <x:c r="C470" s="33" t="str">
        <x:v>Small pelagic forage fishes</x:v>
      </x:c>
      <x:c r="D470" s="33" t="str">
        <x:v>Hyperlophus vittatus</x:v>
      </x:c>
      <x:c r="E470" s="59" t="n">
        <x:v>4.4399999999999995</x:v>
      </x:c>
      <x:c r="F470" s="59" t="n">
        <x:v>5.4</x:v>
      </x:c>
      <x:c r="G470" s="59" t="n">
        <x:f>IF(F470="","",F470-E470)</x:f>
        <x:v>0.9600000000000009</x:v>
      </x:c>
      <x:c r="H470" s="59" t="n">
        <x:f>IF(G470="","",ABS(G470))</x:f>
        <x:v>0.9600000000000009</x:v>
      </x:c>
      <x:c r="I470" s="60" t="n">
        <x:f>IF(G470="","",ABS(G470/E470)*100)</x:f>
        <x:v>21.621621621621642</x:v>
      </x:c>
      <x:c r="J470" s="33" t="str">
        <x:v>Hyperlophus</x:v>
      </x:c>
      <x:c r="K470" s="33" t="str">
        <x:v>Clupeidae</x:v>
      </x:c>
      <x:c r="L470" s="33" t="str">
        <x:v>Small pelagic forage fishes</x:v>
      </x:c>
      <x:c r="M470" s="33" t="str">
        <x:v>Teleostei</x:v>
      </x:c>
    </x:row>
    <x:row r="471">
      <x:c r="A471" s="33" t="str">
        <x:v>Broad group</x:v>
      </x:c>
      <x:c r="B471" s="33" t="str">
        <x:v>Ecological proxy</x:v>
      </x:c>
      <x:c r="C471" s="33" t="str">
        <x:v>Small demersal zoobenthivorous fishes</x:v>
      </x:c>
      <x:c r="D471" s="33" t="str">
        <x:v>Afurcagobius tamarensis</x:v>
      </x:c>
      <x:c r="E471" s="59" t="n">
        <x:v>5</x:v>
      </x:c>
      <x:c r="F471" s="59" t="n">
        <x:v>5.675</x:v>
      </x:c>
      <x:c r="G471" s="59" t="n">
        <x:f>IF(F471="","",F471-E471)</x:f>
        <x:v>0.6749999999999998</x:v>
      </x:c>
      <x:c r="H471" s="59" t="n">
        <x:f>IF(G471="","",ABS(G471))</x:f>
        <x:v>0.6749999999999998</x:v>
      </x:c>
      <x:c r="I471" s="60" t="n">
        <x:f>IF(G471="","",ABS(G471/E471)*100)</x:f>
        <x:v>13.499999999999995</x:v>
      </x:c>
      <x:c r="J471" s="33" t="str">
        <x:v>Afurcagobius</x:v>
      </x:c>
      <x:c r="K471" s="33" t="str">
        <x:v>Gobiidae</x:v>
      </x:c>
      <x:c r="L471" s="33" t="str">
        <x:v>Small demersal zoobenthivorous fishes</x:v>
      </x:c>
      <x:c r="M471" s="33" t="str">
        <x:v>Teleostei</x:v>
      </x:c>
    </x:row>
    <x:row r="472">
      <x:c r="A472" s="33" t="str">
        <x:v>Broad group</x:v>
      </x:c>
      <x:c r="B472" s="33" t="str">
        <x:v>Ecological proxy</x:v>
      </x:c>
      <x:c r="C472" s="33" t="str">
        <x:v>Small demersal zoobenthivorous fishes</x:v>
      </x:c>
      <x:c r="D472" s="33" t="str">
        <x:v>Tasmanogobius lasti</x:v>
      </x:c>
      <x:c r="E472" s="59" t="n">
        <x:v>5.64</x:v>
      </x:c>
      <x:c r="F472" s="59" t="n">
        <x:v>5.675</x:v>
      </x:c>
      <x:c r="G472" s="59" t="n">
        <x:f>IF(F472="","",F472-E472)</x:f>
        <x:v>0.03500000000000014</x:v>
      </x:c>
      <x:c r="H472" s="59" t="n">
        <x:f>IF(G472="","",ABS(G472))</x:f>
        <x:v>0.03500000000000014</x:v>
      </x:c>
      <x:c r="I472" s="60" t="n">
        <x:f>IF(G472="","",ABS(G472/E472)*100)</x:f>
        <x:v>0.6205673758865273</x:v>
      </x:c>
      <x:c r="J472" s="33" t="str">
        <x:v>Tasmanogobius</x:v>
      </x:c>
      <x:c r="K472" s="33" t="str">
        <x:v>Gobiidae</x:v>
      </x:c>
      <x:c r="L472" s="33" t="str">
        <x:v>Small demersal zoobenthivorous fishes</x:v>
      </x:c>
      <x:c r="M472" s="33" t="str">
        <x:v>Teleostei</x:v>
      </x:c>
    </x:row>
    <x:row r="473">
      <x:c r="A473" s="33" t="str">
        <x:v>Broad group</x:v>
      </x:c>
      <x:c r="B473" s="33" t="str">
        <x:v>Ecological proxy</x:v>
      </x:c>
      <x:c r="C473" s="33" t="str">
        <x:v>Other demersal fishes</x:v>
      </x:c>
      <x:c r="D473" s="33" t="str">
        <x:v>Pseudaphritis urvillii</x:v>
      </x:c>
      <x:c r="E473" s="59" t="n">
        <x:v>6.35</x:v>
      </x:c>
      <x:c r="F473" s="59" t="n">
        <x:v>5.8</x:v>
      </x:c>
      <x:c r="G473" s="59" t="n">
        <x:f>IF(F473="","",F473-E473)</x:f>
        <x:v>-0.5499999999999998</x:v>
      </x:c>
      <x:c r="H473" s="59" t="n">
        <x:f>IF(G473="","",ABS(G473))</x:f>
        <x:v>0.5499999999999998</x:v>
      </x:c>
      <x:c r="I473" s="60" t="n">
        <x:f>IF(G473="","",ABS(G473/E473)*100)</x:f>
        <x:v>8.661417322834643</x:v>
      </x:c>
      <x:c r="J473" s="33" t="str">
        <x:v>Pseudaphritis</x:v>
      </x:c>
      <x:c r="K473" s="33" t="str">
        <x:v>Pseudaphritidae</x:v>
      </x:c>
      <x:c r="L473" s="33" t="str">
        <x:v>Other demersal fishes</x:v>
      </x:c>
      <x:c r="M473" s="33" t="str">
        <x:v>Teleostei</x:v>
      </x:c>
    </x:row>
    <x:row r="474">
      <x:c r="A474" s="33" t="str">
        <x:v>Broad group</x:v>
      </x:c>
      <x:c r="B474" s="33" t="str">
        <x:v>Ecological proxy</x:v>
      </x:c>
      <x:c r="C474" s="33" t="str">
        <x:v>Small pelagic forage fishes</x:v>
      </x:c>
      <x:c r="D474" s="33" t="str">
        <x:v>Atherinosoma microstoma</x:v>
      </x:c>
      <x:c r="E474" s="59" t="n">
        <x:v>5.32</x:v>
      </x:c>
      <x:c r="F474" s="59" t="n">
        <x:v>5.4</x:v>
      </x:c>
      <x:c r="G474" s="59" t="n">
        <x:f>IF(F474="","",F474-E474)</x:f>
        <x:v>0.08000000000000007</x:v>
      </x:c>
      <x:c r="H474" s="59" t="n">
        <x:f>IF(G474="","",ABS(G474))</x:f>
        <x:v>0.08000000000000007</x:v>
      </x:c>
      <x:c r="I474" s="60" t="n">
        <x:f>IF(G474="","",ABS(G474/E474)*100)</x:f>
        <x:v>1.5037593984962419</x:v>
      </x:c>
      <x:c r="J474" s="33" t="str">
        <x:v>Atherinosoma</x:v>
      </x:c>
      <x:c r="K474" s="33" t="str">
        <x:v>Atherinidae</x:v>
      </x:c>
      <x:c r="L474" s="33" t="str">
        <x:v>Small pelagic forage fishes</x:v>
      </x:c>
      <x:c r="M474" s="33" t="str">
        <x:v>Teleostei</x:v>
      </x:c>
    </x:row>
    <x:row r="475">
      <x:c r="A475" s="33" t="str">
        <x:v>Broad group</x:v>
      </x:c>
      <x:c r="B475" s="33" t="str">
        <x:v>Ecological proxy</x:v>
      </x:c>
      <x:c r="C475" s="33" t="str">
        <x:v>Estuarine/coastal fishes</x:v>
      </x:c>
      <x:c r="D475" s="33" t="str">
        <x:v>Aldrichetta forsteri</x:v>
      </x:c>
      <x:c r="E475" s="59" t="n">
        <x:v>6.14</x:v>
      </x:c>
      <x:c r="F475" s="59" t="n">
        <x:v>5.619999999999999</x:v>
      </x:c>
      <x:c r="G475" s="59" t="n">
        <x:f>IF(F475="","",F475-E475)</x:f>
        <x:v>-0.5200000000000005</x:v>
      </x:c>
      <x:c r="H475" s="59" t="n">
        <x:f>IF(G475="","",ABS(G475))</x:f>
        <x:v>0.5200000000000005</x:v>
      </x:c>
      <x:c r="I475" s="60" t="n">
        <x:f>IF(G475="","",ABS(G475/E475)*100)</x:f>
        <x:v>8.469055374592841</x:v>
      </x:c>
      <x:c r="J475" s="33" t="str">
        <x:v>Aldrichetta</x:v>
      </x:c>
      <x:c r="K475" s="33" t="str">
        <x:v>Mugilidae</x:v>
      </x:c>
      <x:c r="L475" s="33" t="str">
        <x:v>Estuarine/coastal fishes</x:v>
      </x:c>
      <x:c r="M475" s="33" t="str">
        <x:v>Teleostei</x:v>
      </x:c>
    </x:row>
    <x:row r="476">
      <x:c r="A476" s="33" t="str">
        <x:v>Broad group</x:v>
      </x:c>
      <x:c r="B476" s="33" t="str">
        <x:v>Ecological proxy</x:v>
      </x:c>
      <x:c r="C476" s="33" t="str">
        <x:v>Demersal flatfishes</x:v>
      </x:c>
      <x:c r="D476" s="33" t="str">
        <x:v>Ammotretis rostratus</x:v>
      </x:c>
      <x:c r="E476" s="59" t="n">
        <x:v>4.72</x:v>
      </x:c>
      <x:c r="F476" s="59" t="n">
        <x:v>5.64</x:v>
      </x:c>
      <x:c r="G476" s="59" t="n">
        <x:f>IF(F476="","",F476-E476)</x:f>
        <x:v>0.9199999999999999</x:v>
      </x:c>
      <x:c r="H476" s="59" t="n">
        <x:f>IF(G476="","",ABS(G476))</x:f>
        <x:v>0.9199999999999999</x:v>
      </x:c>
      <x:c r="I476" s="60" t="n">
        <x:f>IF(G476="","",ABS(G476/E476)*100)</x:f>
        <x:v>19.491525423728813</x:v>
      </x:c>
      <x:c r="J476" s="33" t="str">
        <x:v>Ammotretis</x:v>
      </x:c>
      <x:c r="K476" s="33" t="str">
        <x:v>Pleuronectidae</x:v>
      </x:c>
      <x:c r="L476" s="33" t="str">
        <x:v>Demersal flatfishes</x:v>
      </x:c>
      <x:c r="M476" s="33" t="str">
        <x:v>Teleostei</x:v>
      </x:c>
    </x:row>
    <x:row r="477">
      <x:c r="A477" s="33" t="str">
        <x:v>Broad group</x:v>
      </x:c>
      <x:c r="B477" s="33" t="str">
        <x:v>Ecological proxy</x:v>
      </x:c>
      <x:c r="C477" s="33" t="str">
        <x:v>Demersal flatfishes</x:v>
      </x:c>
      <x:c r="D477" s="33" t="str">
        <x:v>Rhombosolea tapirina</x:v>
      </x:c>
      <x:c r="E477" s="59" t="n">
        <x:v>4.99</x:v>
      </x:c>
      <x:c r="F477" s="59" t="n">
        <x:v>5.64</x:v>
      </x:c>
      <x:c r="G477" s="59" t="n">
        <x:f>IF(F477="","",F477-E477)</x:f>
        <x:v>0.6499999999999995</x:v>
      </x:c>
      <x:c r="H477" s="59" t="n">
        <x:f>IF(G477="","",ABS(G477))</x:f>
        <x:v>0.6499999999999995</x:v>
      </x:c>
      <x:c r="I477" s="60" t="n">
        <x:f>IF(G477="","",ABS(G477/E477)*100)</x:f>
        <x:v>13.026052104208405</x:v>
      </x:c>
      <x:c r="J477" s="33" t="str">
        <x:v>Rhombosolea</x:v>
      </x:c>
      <x:c r="K477" s="33" t="str">
        <x:v>Pleuronectidae</x:v>
      </x:c>
      <x:c r="L477" s="33" t="str">
        <x:v>Demersal flatfishes</x:v>
      </x:c>
      <x:c r="M477" s="33" t="str">
        <x:v>Teleostei</x:v>
      </x:c>
    </x:row>
    <x:row r="478">
      <x:c r="A478" s="33" t="str">
        <x:v>Broad group</x:v>
      </x:c>
      <x:c r="B478" s="33" t="str">
        <x:v>Ecological proxy</x:v>
      </x:c>
      <x:c r="C478" s="33" t="str">
        <x:v>Other demersal fishes</x:v>
      </x:c>
      <x:c r="D478" s="33" t="str">
        <x:v>Acanthopagrus butcheri</x:v>
      </x:c>
      <x:c r="E478" s="59" t="n">
        <x:v>5.97</x:v>
      </x:c>
      <x:c r="F478" s="59" t="n">
        <x:v>5.8</x:v>
      </x:c>
      <x:c r="G478" s="59" t="n">
        <x:f>IF(F478="","",F478-E478)</x:f>
        <x:v>-0.16999999999999993</x:v>
      </x:c>
      <x:c r="H478" s="59" t="n">
        <x:f>IF(G478="","",ABS(G478))</x:f>
        <x:v>0.16999999999999993</x:v>
      </x:c>
      <x:c r="I478" s="60" t="n">
        <x:f>IF(G478="","",ABS(G478/E478)*100)</x:f>
        <x:v>2.847571189279731</x:v>
      </x:c>
      <x:c r="J478" s="33" t="str">
        <x:v>Acanthopagrus</x:v>
      </x:c>
      <x:c r="K478" s="33" t="str">
        <x:v>Sparidae</x:v>
      </x:c>
      <x:c r="L478" s="33" t="str">
        <x:v>Other demersal fishes</x:v>
      </x:c>
      <x:c r="M478" s="33" t="str">
        <x:v>Teleostei</x:v>
      </x:c>
    </x:row>
    <x:row r="479">
      <x:c r="A479" s="33" t="str">
        <x:v>Broad group</x:v>
      </x:c>
      <x:c r="B479" s="33" t="str">
        <x:v>Ecological proxy</x:v>
      </x:c>
      <x:c r="C479" s="33" t="str">
        <x:v>Other pelagic fishes</x:v>
      </x:c>
      <x:c r="D479" s="33" t="str">
        <x:v>Arripis truttaceus</x:v>
      </x:c>
      <x:c r="E479" s="59" t="n">
        <x:v>5.92</x:v>
      </x:c>
      <x:c r="F479" s="59" t="n">
        <x:v>5.6</x:v>
      </x:c>
      <x:c r="G479" s="59" t="n">
        <x:f>IF(F479="","",F479-E479)</x:f>
        <x:v>-0.3200000000000003</x:v>
      </x:c>
      <x:c r="H479" s="59" t="n">
        <x:f>IF(G479="","",ABS(G479))</x:f>
        <x:v>0.3200000000000003</x:v>
      </x:c>
      <x:c r="I479" s="60" t="n">
        <x:f>IF(G479="","",ABS(G479/E479)*100)</x:f>
        <x:v>5.405405405405411</x:v>
      </x:c>
      <x:c r="J479" s="33" t="str">
        <x:v>Arripis</x:v>
      </x:c>
      <x:c r="K479" s="33" t="str">
        <x:v>Arripidae</x:v>
      </x:c>
      <x:c r="L479" s="33" t="str">
        <x:v>Other pelagic fishes</x:v>
      </x:c>
      <x:c r="M479" s="33" t="str">
        <x:v>Teleostei</x:v>
      </x:c>
    </x:row>
    <x:row r="480">
      <x:c r="A480" s="33" t="str">
        <x:v>Broad group</x:v>
      </x:c>
      <x:c r="B480" s="33" t="str">
        <x:v>Ecological proxy</x:v>
      </x:c>
      <x:c r="C480" s="33" t="str">
        <x:v>Other demersal fishes</x:v>
      </x:c>
      <x:c r="D480" s="33" t="str">
        <x:v>Argyrosomus japonicus</x:v>
      </x:c>
      <x:c r="E480" s="59" t="n">
        <x:v>5.56</x:v>
      </x:c>
      <x:c r="F480" s="59" t="n">
        <x:v>5.8</x:v>
      </x:c>
      <x:c r="G480" s="59" t="n">
        <x:f>IF(F480="","",F480-E480)</x:f>
        <x:v>0.2400000000000002</x:v>
      </x:c>
      <x:c r="H480" s="59" t="n">
        <x:f>IF(G480="","",ABS(G480))</x:f>
        <x:v>0.2400000000000002</x:v>
      </x:c>
      <x:c r="I480" s="60" t="n">
        <x:f>IF(G480="","",ABS(G480/E480)*100)</x:f>
        <x:v>4.316546762589932</x:v>
      </x:c>
      <x:c r="J480" s="33" t="str">
        <x:v>Argyrosomus</x:v>
      </x:c>
      <x:c r="K480" s="33" t="str">
        <x:v>Sciaenidae</x:v>
      </x:c>
      <x:c r="L480" s="33" t="str">
        <x:v>Other demersal fishes</x:v>
      </x:c>
      <x:c r="M480" s="33" t="str">
        <x:v>Teleostei</x:v>
      </x:c>
    </x:row>
    <x:row r="481">
      <x:c r="A481" s="33" t="str">
        <x:v>Broad group</x:v>
      </x:c>
      <x:c r="B481" s="33" t="str">
        <x:v>Ecological proxy</x:v>
      </x:c>
      <x:c r="C481" s="33" t="str">
        <x:v>Small pelagic forage fishes</x:v>
      </x:c>
      <x:c r="D481" s="33" t="str">
        <x:v>Engraulis mordax</x:v>
      </x:c>
      <x:c r="E481" s="59" t="n">
        <x:v>7.85</x:v>
      </x:c>
      <x:c r="F481" s="59" t="n">
        <x:v>5.4</x:v>
      </x:c>
      <x:c r="G481" s="59" t="n">
        <x:f>IF(F481="","",F481-E481)</x:f>
        <x:v>-2.4499999999999993</x:v>
      </x:c>
      <x:c r="H481" s="59" t="n">
        <x:f>IF(G481="","",ABS(G481))</x:f>
        <x:v>2.4499999999999993</x:v>
      </x:c>
      <x:c r="I481" s="60" t="n">
        <x:f>IF(G481="","",ABS(G481/E481)*100)</x:f>
        <x:v>31.21019108280254</x:v>
      </x:c>
      <x:c r="J481" s="33" t="str">
        <x:v>Engraulis</x:v>
      </x:c>
      <x:c r="K481" s="33" t="str">
        <x:v>Engraulidae</x:v>
      </x:c>
      <x:c r="L481" s="33" t="str">
        <x:v>Small pelagic forage fishes</x:v>
      </x:c>
      <x:c r="M481" s="33" t="str">
        <x:v>Teleostei</x:v>
      </x:c>
    </x:row>
    <x:row r="482">
      <x:c r="A482" s="33" t="str">
        <x:v>Broad group</x:v>
      </x:c>
      <x:c r="B482" s="33" t="str">
        <x:v>Ecological proxy</x:v>
      </x:c>
      <x:c r="C482" s="33" t="str">
        <x:v>Small pelagic forage fishes</x:v>
      </x:c>
      <x:c r="D482" s="33" t="str">
        <x:v>Sardinops sagax</x:v>
      </x:c>
      <x:c r="E482" s="59" t="n">
        <x:v>6.75</x:v>
      </x:c>
      <x:c r="F482" s="59" t="n">
        <x:v>5.4</x:v>
      </x:c>
      <x:c r="G482" s="59" t="n">
        <x:f>IF(F482="","",F482-E482)</x:f>
        <x:v>-1.3499999999999996</x:v>
      </x:c>
      <x:c r="H482" s="59" t="n">
        <x:f>IF(G482="","",ABS(G482))</x:f>
        <x:v>1.3499999999999996</x:v>
      </x:c>
      <x:c r="I482" s="60" t="n">
        <x:f>IF(G482="","",ABS(G482/E482)*100)</x:f>
        <x:v>19.999999999999996</x:v>
      </x:c>
      <x:c r="J482" s="33" t="str">
        <x:v>Sardinops</x:v>
      </x:c>
      <x:c r="K482" s="33" t="str">
        <x:v>Clupeidae</x:v>
      </x:c>
      <x:c r="L482" s="33" t="str">
        <x:v>Small pelagic forage fishes</x:v>
      </x:c>
      <x:c r="M482" s="33" t="str">
        <x:v>Teleostei</x:v>
      </x:c>
    </x:row>
    <x:row r="483">
      <x:c r="A483" s="33" t="str">
        <x:v>Broad group</x:v>
      </x:c>
      <x:c r="B483" s="33" t="str">
        <x:v>Ecological proxy</x:v>
      </x:c>
      <x:c r="C483" s="33" t="str">
        <x:v>Pelagic squids</x:v>
      </x:c>
      <x:c r="D483" s="33" t="str">
        <x:v>Doryteuthis opalescens</x:v>
      </x:c>
      <x:c r="E483" s="59" t="n">
        <x:v>4.85</x:v>
      </x:c>
      <x:c r="F483" s="59" t="n">
        <x:v>4.25</x:v>
      </x:c>
      <x:c r="G483" s="59" t="n">
        <x:f>IF(F483="","",F483-E483)</x:f>
        <x:v>-0.5999999999999996</x:v>
      </x:c>
      <x:c r="H483" s="59" t="n">
        <x:f>IF(G483="","",ABS(G483))</x:f>
        <x:v>0.5999999999999996</x:v>
      </x:c>
      <x:c r="I483" s="60" t="n">
        <x:f>IF(G483="","",ABS(G483/E483)*100)</x:f>
        <x:v>12.37113402061855</x:v>
      </x:c>
      <x:c r="J483" s="33" t="str">
        <x:v>Doryteuthis</x:v>
      </x:c>
      <x:c r="K483" s="33" t="str">
        <x:v>Loliginidae</x:v>
      </x:c>
      <x:c r="L483" s="33" t="str">
        <x:v>Pelagic squids</x:v>
      </x:c>
      <x:c r="M483" s="33" t="str">
        <x:v>Cephalopoda</x:v>
      </x:c>
    </x:row>
    <x:row r="484">
      <x:c r="A484" s="33" t="str">
        <x:v>Broad group</x:v>
      </x:c>
      <x:c r="B484" s="33" t="str">
        <x:v>Ecological proxy</x:v>
      </x:c>
      <x:c r="C484" s="33" t="str">
        <x:v>Small pelagic forage fishes</x:v>
      </x:c>
      <x:c r="D484" s="33" t="str">
        <x:v>Alosa pseudoharengus</x:v>
      </x:c>
      <x:c r="E484" s="59" t="n">
        <x:v>6.99</x:v>
      </x:c>
      <x:c r="F484" s="59" t="n">
        <x:v>5.4</x:v>
      </x:c>
      <x:c r="G484" s="59" t="n">
        <x:f>IF(F484="","",F484-E484)</x:f>
        <x:v>-1.5899999999999999</x:v>
      </x:c>
      <x:c r="H484" s="59" t="n">
        <x:f>IF(G484="","",ABS(G484))</x:f>
        <x:v>1.5899999999999999</x:v>
      </x:c>
      <x:c r="I484" s="60" t="n">
        <x:f>IF(G484="","",ABS(G484/E484)*100)</x:f>
        <x:v>22.746781115879823</x:v>
      </x:c>
      <x:c r="J484" s="33" t="str">
        <x:v>Alosa</x:v>
      </x:c>
      <x:c r="K484" s="33" t="str">
        <x:v>Clupeidae</x:v>
      </x:c>
      <x:c r="L484" s="33" t="str">
        <x:v>Small pelagic forage fishes</x:v>
      </x:c>
      <x:c r="M484" s="33" t="str">
        <x:v>Teleostei</x:v>
      </x:c>
    </x:row>
    <x:row r="485">
      <x:c r="A485" s="33" t="str">
        <x:v>Broad group</x:v>
      </x:c>
      <x:c r="B485" s="33" t="str">
        <x:v>Ecological proxy</x:v>
      </x:c>
      <x:c r="C485" s="33" t="str">
        <x:v>Other demersal fishes</x:v>
      </x:c>
      <x:c r="D485" s="33" t="str">
        <x:v>Merluccius bilinearis</x:v>
      </x:c>
      <x:c r="E485" s="59" t="n">
        <x:v>4.28</x:v>
      </x:c>
      <x:c r="F485" s="59" t="n">
        <x:v>5.8</x:v>
      </x:c>
      <x:c r="G485" s="59" t="n">
        <x:f>IF(F485="","",F485-E485)</x:f>
        <x:v>1.5199999999999996</x:v>
      </x:c>
      <x:c r="H485" s="59" t="n">
        <x:f>IF(G485="","",ABS(G485))</x:f>
        <x:v>1.5199999999999996</x:v>
      </x:c>
      <x:c r="I485" s="60" t="n">
        <x:f>IF(G485="","",ABS(G485/E485)*100)</x:f>
        <x:v>35.514018691588774</x:v>
      </x:c>
      <x:c r="J485" s="33" t="str">
        <x:v>Merluccius</x:v>
      </x:c>
      <x:c r="K485" s="33" t="str">
        <x:v>Merlucciidae</x:v>
      </x:c>
      <x:c r="L485" s="33" t="str">
        <x:v>Other demersal fishes</x:v>
      </x:c>
      <x:c r="M485" s="33" t="str">
        <x:v>Teleostei</x:v>
      </x:c>
    </x:row>
    <x:row r="486">
      <x:c r="A486" s="33" t="str">
        <x:v>Broad group</x:v>
      </x:c>
      <x:c r="B486" s="33" t="str">
        <x:v>Ecological proxy</x:v>
      </x:c>
      <x:c r="C486" s="33" t="str">
        <x:v>Small pelagic forage fishes</x:v>
      </x:c>
      <x:c r="D486" s="33" t="str">
        <x:v>Ammodytes dubius</x:v>
      </x:c>
      <x:c r="E486" s="59" t="n">
        <x:v>6</x:v>
      </x:c>
      <x:c r="F486" s="59" t="n">
        <x:v>5.4</x:v>
      </x:c>
      <x:c r="G486" s="59" t="n">
        <x:f>IF(F486="","",F486-E486)</x:f>
        <x:v>-0.5999999999999996</x:v>
      </x:c>
      <x:c r="H486" s="59" t="n">
        <x:f>IF(G486="","",ABS(G486))</x:f>
        <x:v>0.5999999999999996</x:v>
      </x:c>
      <x:c r="I486" s="60" t="n">
        <x:f>IF(G486="","",ABS(G486/E486)*100)</x:f>
        <x:v>9.999999999999993</x:v>
      </x:c>
      <x:c r="J486" s="33" t="str">
        <x:v>Ammodytes</x:v>
      </x:c>
      <x:c r="K486" s="33" t="str">
        <x:v>Ammodytidae</x:v>
      </x:c>
      <x:c r="L486" s="33" t="str">
        <x:v>Small pelagic forage fishes</x:v>
      </x:c>
      <x:c r="M486" s="33" t="str">
        <x:v>Teleostei</x:v>
      </x:c>
    </x:row>
    <x:row r="487">
      <x:c r="A487" s="33" t="str">
        <x:v>Broad group</x:v>
      </x:c>
      <x:c r="B487" s="33" t="str">
        <x:v>Ecological proxy</x:v>
      </x:c>
      <x:c r="C487" s="33" t="str">
        <x:v>Small pelagic forage fishes</x:v>
      </x:c>
      <x:c r="D487" s="33" t="str">
        <x:v>Peprilus triacanthus</x:v>
      </x:c>
      <x:c r="E487" s="59" t="n">
        <x:v>6.74</x:v>
      </x:c>
      <x:c r="F487" s="59" t="n">
        <x:v>5.4</x:v>
      </x:c>
      <x:c r="G487" s="59" t="n">
        <x:f>IF(F487="","",F487-E487)</x:f>
        <x:v>-1.3399999999999999</x:v>
      </x:c>
      <x:c r="H487" s="59" t="n">
        <x:f>IF(G487="","",ABS(G487))</x:f>
        <x:v>1.3399999999999999</x:v>
      </x:c>
      <x:c r="I487" s="60" t="n">
        <x:f>IF(G487="","",ABS(G487/E487)*100)</x:f>
        <x:v>19.881305637982194</x:v>
      </x:c>
      <x:c r="J487" s="33" t="str">
        <x:v>Peprilus</x:v>
      </x:c>
      <x:c r="K487" s="33" t="str">
        <x:v>Stromateidae</x:v>
      </x:c>
      <x:c r="L487" s="33" t="str">
        <x:v>Small pelagic forage fishes</x:v>
      </x:c>
      <x:c r="M487" s="33" t="str">
        <x:v>Teleostei</x:v>
      </x:c>
    </x:row>
    <x:row r="488">
      <x:c r="A488" s="33" t="str">
        <x:v>Broad group</x:v>
      </x:c>
      <x:c r="B488" s="33" t="str">
        <x:v>Ecological proxy</x:v>
      </x:c>
      <x:c r="C488" s="33" t="str">
        <x:v>Pelagic squids</x:v>
      </x:c>
      <x:c r="D488" s="33" t="str">
        <x:v>Illex illecebrosus</x:v>
      </x:c>
      <x:c r="E488" s="59" t="n">
        <x:v>5.45</x:v>
      </x:c>
      <x:c r="F488" s="59" t="n">
        <x:v>4.25</x:v>
      </x:c>
      <x:c r="G488" s="59" t="n">
        <x:f>IF(F488="","",F488-E488)</x:f>
        <x:v>-1.2000000000000002</x:v>
      </x:c>
      <x:c r="H488" s="59" t="n">
        <x:f>IF(G488="","",ABS(G488))</x:f>
        <x:v>1.2000000000000002</x:v>
      </x:c>
      <x:c r="I488" s="60" t="n">
        <x:f>IF(G488="","",ABS(G488/E488)*100)</x:f>
        <x:v>22.018348623853214</x:v>
      </x:c>
      <x:c r="J488" s="33" t="str">
        <x:v>Illex</x:v>
      </x:c>
      <x:c r="K488" s="33" t="str">
        <x:v>Ommastrephidae</x:v>
      </x:c>
      <x:c r="L488" s="33" t="str">
        <x:v>Pelagic squids</x:v>
      </x:c>
      <x:c r="M488" s="33" t="str">
        <x:v>Cephalopoda</x:v>
      </x:c>
    </x:row>
    <x:row r="489">
      <x:c r="A489" s="33" t="str">
        <x:v>Broad group</x:v>
      </x:c>
      <x:c r="B489" s="33" t="str">
        <x:v>Ecological proxy</x:v>
      </x:c>
      <x:c r="C489" s="33" t="str">
        <x:v>Pelagic squids</x:v>
      </x:c>
      <x:c r="D489" s="33" t="str">
        <x:v>Doryteuthis pealeii</x:v>
      </x:c>
      <x:c r="E489" s="59" t="n">
        <x:v>5.16</x:v>
      </x:c>
      <x:c r="F489" s="59" t="n">
        <x:v>4.25</x:v>
      </x:c>
      <x:c r="G489" s="59" t="n">
        <x:f>IF(F489="","",F489-E489)</x:f>
        <x:v>-0.9100000000000001</x:v>
      </x:c>
      <x:c r="H489" s="59" t="n">
        <x:f>IF(G489="","",ABS(G489))</x:f>
        <x:v>0.9100000000000001</x:v>
      </x:c>
      <x:c r="I489" s="60" t="n">
        <x:f>IF(G489="","",ABS(G489/E489)*100)</x:f>
        <x:v>17.635658914728687</x:v>
      </x:c>
      <x:c r="J489" s="33" t="str">
        <x:v>Doryteuthis</x:v>
      </x:c>
      <x:c r="K489" s="33" t="str">
        <x:v>Loliginidae</x:v>
      </x:c>
      <x:c r="L489" s="33" t="str">
        <x:v>Pelagic squids</x:v>
      </x:c>
      <x:c r="M489" s="33" t="str">
        <x:v>Cephalopoda</x:v>
      </x:c>
    </x:row>
    <x:row r="490">
      <x:c r="A490" s="33" t="str">
        <x:v>Broad group</x:v>
      </x:c>
      <x:c r="B490" s="33" t="str">
        <x:v>Ecological proxy</x:v>
      </x:c>
      <x:c r="C490" s="33" t="str">
        <x:v>Pelagic predatory fishes</x:v>
      </x:c>
      <x:c r="D490" s="33" t="str">
        <x:v>Pomatomus saltatrix</x:v>
      </x:c>
      <x:c r="E490" s="59" t="n">
        <x:v>7.06</x:v>
      </x:c>
      <x:c r="F490" s="59" t="n">
        <x:v>5.6</x:v>
      </x:c>
      <x:c r="G490" s="59" t="n">
        <x:f>IF(F490="","",F490-E490)</x:f>
        <x:v>-1.46</x:v>
      </x:c>
      <x:c r="H490" s="59" t="n">
        <x:f>IF(G490="","",ABS(G490))</x:f>
        <x:v>1.46</x:v>
      </x:c>
      <x:c r="I490" s="60" t="n">
        <x:f>IF(G490="","",ABS(G490/E490)*100)</x:f>
        <x:v>20.67988668555241</x:v>
      </x:c>
      <x:c r="J490" s="33" t="str">
        <x:v>Pomatomus</x:v>
      </x:c>
      <x:c r="K490" s="33" t="str">
        <x:v>Pomatomidae</x:v>
      </x:c>
      <x:c r="L490" s="33" t="str">
        <x:v>Pelagic predatory fishes</x:v>
      </x:c>
      <x:c r="M490" s="33" t="str">
        <x:v>Teleostei</x:v>
      </x:c>
    </x:row>
    <x:row r="491">
      <x:c r="A491" s="33" t="str">
        <x:v>Broad group</x:v>
      </x:c>
      <x:c r="B491" s="33" t="str">
        <x:v>Ecological proxy</x:v>
      </x:c>
      <x:c r="C491" s="33" t="str">
        <x:v>Small pelagic forage fishes</x:v>
      </x:c>
      <x:c r="D491" s="33" t="str">
        <x:v>Trachurus novaezelandiae</x:v>
      </x:c>
      <x:c r="E491" s="59" t="n">
        <x:v>5.78</x:v>
      </x:c>
      <x:c r="F491" s="59" t="n">
        <x:v>5.4</x:v>
      </x:c>
      <x:c r="G491" s="59" t="n">
        <x:f>IF(F491="","",F491-E491)</x:f>
        <x:v>-0.3799999999999999</x:v>
      </x:c>
      <x:c r="H491" s="59" t="n">
        <x:f>IF(G491="","",ABS(G491))</x:f>
        <x:v>0.3799999999999999</x:v>
      </x:c>
      <x:c r="I491" s="60" t="n">
        <x:f>IF(G491="","",ABS(G491/E491)*100)</x:f>
        <x:v>6.574394463667818</x:v>
      </x:c>
      <x:c r="J491" s="33" t="str">
        <x:v>Trachurus</x:v>
      </x:c>
      <x:c r="K491" s="33" t="str">
        <x:v>Carangidae</x:v>
      </x:c>
      <x:c r="L491" s="33" t="str">
        <x:v>Small pelagic forage fishes</x:v>
      </x:c>
      <x:c r="M491" s="33" t="str">
        <x:v>Teleostei</x:v>
      </x:c>
    </x:row>
    <x:row r="492">
      <x:c r="A492" s="33" t="str">
        <x:v>Broad group</x:v>
      </x:c>
      <x:c r="B492" s="33" t="str">
        <x:v>Ecological proxy</x:v>
      </x:c>
      <x:c r="C492" s="33" t="str">
        <x:v>Other demersal fishes</x:v>
      </x:c>
      <x:c r="D492" s="33" t="str">
        <x:v>Acanthopagrus australis</x:v>
      </x:c>
      <x:c r="E492" s="59" t="n">
        <x:v>5.75</x:v>
      </x:c>
      <x:c r="F492" s="59" t="n">
        <x:v>5.8</x:v>
      </x:c>
      <x:c r="G492" s="59" t="n">
        <x:f>IF(F492="","",F492-E492)</x:f>
        <x:v>0.04999999999999982</x:v>
      </x:c>
      <x:c r="H492" s="59" t="n">
        <x:f>IF(G492="","",ABS(G492))</x:f>
        <x:v>0.04999999999999982</x:v>
      </x:c>
      <x:c r="I492" s="60" t="n">
        <x:f>IF(G492="","",ABS(G492/E492)*100)</x:f>
        <x:v>0.8695652173913012</x:v>
      </x:c>
      <x:c r="J492" s="33" t="str">
        <x:v>Acanthopagrus</x:v>
      </x:c>
      <x:c r="K492" s="33" t="str">
        <x:v>Sparidae</x:v>
      </x:c>
      <x:c r="L492" s="33" t="str">
        <x:v>Other demersal fishes</x:v>
      </x:c>
      <x:c r="M492" s="33" t="str">
        <x:v>Teleostei</x:v>
      </x:c>
    </x:row>
    <x:row r="493">
      <x:c r="A493" s="33" t="str">
        <x:v>Broad group</x:v>
      </x:c>
      <x:c r="B493" s="33" t="str">
        <x:v>Ecological proxy</x:v>
      </x:c>
      <x:c r="C493" s="33" t="str">
        <x:v>Small pelagic forage fishes</x:v>
      </x:c>
      <x:c r="D493" s="33" t="str">
        <x:v>Scomber australasicus</x:v>
      </x:c>
      <x:c r="E493" s="59" t="n">
        <x:v>5.43</x:v>
      </x:c>
      <x:c r="F493" s="59" t="n">
        <x:v>5.4</x:v>
      </x:c>
      <x:c r="G493" s="59" t="n">
        <x:f>IF(F493="","",F493-E493)</x:f>
        <x:v>-0.02999999999999936</x:v>
      </x:c>
      <x:c r="H493" s="59" t="n">
        <x:f>IF(G493="","",ABS(G493))</x:f>
        <x:v>0.02999999999999936</x:v>
      </x:c>
      <x:c r="I493" s="60" t="n">
        <x:f>IF(G493="","",ABS(G493/E493)*100)</x:f>
        <x:v>0.5524861878452921</x:v>
      </x:c>
      <x:c r="J493" s="33" t="str">
        <x:v>Scomber</x:v>
      </x:c>
      <x:c r="K493" s="33" t="str">
        <x:v>Scombridae</x:v>
      </x:c>
      <x:c r="L493" s="33" t="str">
        <x:v>Small pelagic forage fishes</x:v>
      </x:c>
      <x:c r="M493" s="33" t="str">
        <x:v>Teleostei</x:v>
      </x:c>
    </x:row>
    <x:row r="494">
      <x:c r="A494" s="33" t="str">
        <x:v>Broad group</x:v>
      </x:c>
      <x:c r="B494" s="33" t="str">
        <x:v>Ecological proxy</x:v>
      </x:c>
      <x:c r="C494" s="33" t="str">
        <x:v>Estuarine/coastal fishes</x:v>
      </x:c>
      <x:c r="D494" s="33" t="str">
        <x:v>Liza argentea</x:v>
      </x:c>
      <x:c r="E494" s="59" t="n">
        <x:v>5.39</x:v>
      </x:c>
      <x:c r="F494" s="59" t="n">
        <x:v>5.619999999999999</x:v>
      </x:c>
      <x:c r="G494" s="59" t="n">
        <x:f>IF(F494="","",F494-E494)</x:f>
        <x:v>0.22999999999999954</x:v>
      </x:c>
      <x:c r="H494" s="59" t="n">
        <x:f>IF(G494="","",ABS(G494))</x:f>
        <x:v>0.22999999999999954</x:v>
      </x:c>
      <x:c r="I494" s="60" t="n">
        <x:f>IF(G494="","",ABS(G494/E494)*100)</x:f>
        <x:v>4.267161410018545</x:v>
      </x:c>
      <x:c r="J494" s="33" t="str">
        <x:v>Liza</x:v>
      </x:c>
      <x:c r="K494" s="33" t="str">
        <x:v>Mugilidae</x:v>
      </x:c>
      <x:c r="L494" s="33" t="str">
        <x:v>Estuarine/coastal fishes</x:v>
      </x:c>
      <x:c r="M494" s="33" t="str">
        <x:v>Teleostei</x:v>
      </x:c>
    </x:row>
    <x:row r="495">
      <x:c r="A495" s="33" t="str">
        <x:v>Broad group</x:v>
      </x:c>
      <x:c r="B495" s="33" t="str">
        <x:v>Ecological proxy</x:v>
      </x:c>
      <x:c r="C495" s="33" t="str">
        <x:v>Other demersal fishes</x:v>
      </x:c>
      <x:c r="D495" s="33" t="str">
        <x:v>Gerres subfasciatus</x:v>
      </x:c>
      <x:c r="E495" s="59" t="n">
        <x:v>5.2</x:v>
      </x:c>
      <x:c r="F495" s="59" t="n">
        <x:v>5.8</x:v>
      </x:c>
      <x:c r="G495" s="59" t="n">
        <x:f>IF(F495="","",F495-E495)</x:f>
        <x:v>0.5999999999999996</x:v>
      </x:c>
      <x:c r="H495" s="59" t="n">
        <x:f>IF(G495="","",ABS(G495))</x:f>
        <x:v>0.5999999999999996</x:v>
      </x:c>
      <x:c r="I495" s="60" t="n">
        <x:f>IF(G495="","",ABS(G495/E495)*100)</x:f>
        <x:v>11.538461538461531</x:v>
      </x:c>
      <x:c r="J495" s="33" t="str">
        <x:v>Gerres</x:v>
      </x:c>
      <x:c r="K495" s="33" t="str">
        <x:v>Gerreidae</x:v>
      </x:c>
      <x:c r="L495" s="33" t="str">
        <x:v>Other demersal fishes</x:v>
      </x:c>
      <x:c r="M495" s="33" t="str">
        <x:v>Teleostei</x:v>
      </x:c>
    </x:row>
    <x:row r="496">
      <x:c r="A496" s="33" t="str">
        <x:v>Broad group</x:v>
      </x:c>
      <x:c r="B496" s="33" t="str">
        <x:v>Ecological proxy</x:v>
      </x:c>
      <x:c r="C496" s="33" t="str">
        <x:v>Other demersal fishes</x:v>
      </x:c>
      <x:c r="D496" s="33" t="str">
        <x:v>Sillago ciliata</x:v>
      </x:c>
      <x:c r="E496" s="59" t="n">
        <x:v>5.02</x:v>
      </x:c>
      <x:c r="F496" s="59" t="n">
        <x:v>5.8</x:v>
      </x:c>
      <x:c r="G496" s="59" t="n">
        <x:f>IF(F496="","",F496-E496)</x:f>
        <x:v>0.7800000000000002</x:v>
      </x:c>
      <x:c r="H496" s="59" t="n">
        <x:f>IF(G496="","",ABS(G496))</x:f>
        <x:v>0.7800000000000002</x:v>
      </x:c>
      <x:c r="I496" s="60" t="n">
        <x:f>IF(G496="","",ABS(G496/E496)*100)</x:f>
        <x:v>15.537848605577695</x:v>
      </x:c>
      <x:c r="J496" s="33" t="str">
        <x:v>Sillago</x:v>
      </x:c>
      <x:c r="K496" s="33" t="str">
        <x:v>Sillaginidae</x:v>
      </x:c>
      <x:c r="L496" s="33" t="str">
        <x:v>Other demersal fishes</x:v>
      </x:c>
      <x:c r="M496" s="33" t="str">
        <x:v>Teleostei</x:v>
      </x:c>
    </x:row>
    <x:row r="497">
      <x:c r="A497" s="33" t="str">
        <x:v>Broad group</x:v>
      </x:c>
      <x:c r="B497" s="33" t="str">
        <x:v>Ecological proxy</x:v>
      </x:c>
      <x:c r="C497" s="33" t="str">
        <x:v>Decapods (ecology unspecified)</x:v>
      </x:c>
      <x:c r="D497" s="33" t="str">
        <x:v>Metapenaeus macleayi</x:v>
      </x:c>
      <x:c r="E497" s="59" t="n">
        <x:v>3.84</x:v>
      </x:c>
      <x:c r="F497" s="59" t="n">
        <x:v>3.9</x:v>
      </x:c>
      <x:c r="G497" s="59" t="n">
        <x:f>IF(F497="","",F497-E497)</x:f>
        <x:v>0.06000000000000005</x:v>
      </x:c>
      <x:c r="H497" s="59" t="n">
        <x:f>IF(G497="","",ABS(G497))</x:f>
        <x:v>0.06000000000000005</x:v>
      </x:c>
      <x:c r="I497" s="60" t="n">
        <x:f>IF(G497="","",ABS(G497/E497)*100)</x:f>
        <x:v>1.5625000000000013</x:v>
      </x:c>
      <x:c r="J497" s="33" t="str">
        <x:v>Metapenaeus</x:v>
      </x:c>
      <x:c r="K497" s="33" t="str">
        <x:v>Penaeidae</x:v>
      </x:c>
      <x:c r="L497" s="33" t="str">
        <x:v>Decapods (ecology unspecified)</x:v>
      </x:c>
      <x:c r="M497" s="33" t="str">
        <x:v>Crustacea</x:v>
      </x:c>
    </x:row>
    <x:row r="498">
      <x:c r="A498" s="33" t="str">
        <x:v>Broad group</x:v>
      </x:c>
      <x:c r="B498" s="33" t="str">
        <x:v>Ecological proxy</x:v>
      </x:c>
      <x:c r="C498" s="33" t="str">
        <x:v>Pelagic planktonic euphausiids</x:v>
      </x:c>
      <x:c r="D498" s="33" t="str">
        <x:v>Euphausia superba</x:v>
      </x:c>
      <x:c r="E498" s="59" t="n">
        <x:v>3.73</x:v>
      </x:c>
      <x:c r="F498" s="59" t="n">
        <x:v>4.1</x:v>
      </x:c>
      <x:c r="G498" s="59" t="n">
        <x:f>IF(F498="","",F498-E498)</x:f>
        <x:v>0.36999999999999966</x:v>
      </x:c>
      <x:c r="H498" s="59" t="n">
        <x:f>IF(G498="","",ABS(G498))</x:f>
        <x:v>0.36999999999999966</x:v>
      </x:c>
      <x:c r="I498" s="60" t="n">
        <x:f>IF(G498="","",ABS(G498/E498)*100)</x:f>
        <x:v>9.919571045576399</x:v>
      </x:c>
      <x:c r="J498" s="33" t="str">
        <x:v>Euphausia</x:v>
      </x:c>
      <x:c r="K498" s="33" t="str">
        <x:v>Euphausiidae</x:v>
      </x:c>
      <x:c r="L498" s="33" t="str">
        <x:v>Pelagic planktonic euphausiids</x:v>
      </x:c>
      <x:c r="M498" s="33" t="str">
        <x:v>Crustacea</x:v>
      </x:c>
    </x:row>
    <x:row r="499">
      <x:c r="A499" s="33" t="str">
        <x:v>Broad group</x:v>
      </x:c>
      <x:c r="B499" s="33" t="str">
        <x:v>Ecological proxy</x:v>
      </x:c>
      <x:c r="C499" s="33" t="str">
        <x:v>Pelagic squids</x:v>
      </x:c>
      <x:c r="D499" s="33" t="str">
        <x:v>Dosidicus gigas</x:v>
      </x:c>
      <x:c r="E499" s="59" t="n">
        <x:v>4.22</x:v>
      </x:c>
      <x:c r="F499" s="59" t="n">
        <x:v>4.25</x:v>
      </x:c>
      <x:c r="G499" s="59" t="n">
        <x:f>IF(F499="","",F499-E499)</x:f>
        <x:v>0.03000000000000025</x:v>
      </x:c>
      <x:c r="H499" s="59" t="n">
        <x:f>IF(G499="","",ABS(G499))</x:f>
        <x:v>0.03000000000000025</x:v>
      </x:c>
      <x:c r="I499" s="60" t="n">
        <x:f>IF(G499="","",ABS(G499/E499)*100)</x:f>
        <x:v>0.7109004739336553</x:v>
      </x:c>
      <x:c r="J499" s="33" t="str">
        <x:v>Dosidicus</x:v>
      </x:c>
      <x:c r="K499" s="33" t="str">
        <x:v>Ommastrephidae</x:v>
      </x:c>
      <x:c r="L499" s="33" t="str">
        <x:v>Pelagic squids</x:v>
      </x:c>
      <x:c r="M499" s="33" t="str">
        <x:v>Cephalopoda</x:v>
      </x:c>
    </x:row>
    <x:row r="500">
      <x:c r="A500" s="33" t="str">
        <x:v>Broad group</x:v>
      </x:c>
      <x:c r="B500" s="33" t="str">
        <x:v>Ecological proxy</x:v>
      </x:c>
      <x:c r="C500" s="33" t="str">
        <x:v>Pelagic squids</x:v>
      </x:c>
      <x:c r="D500" s="33" t="str">
        <x:v>Symplectoteuthis ovalaniensis</x:v>
      </x:c>
      <x:c r="E500" s="59" t="n">
        <x:v>5.59</x:v>
      </x:c>
      <x:c r="F500" s="59" t="n">
        <x:v>4.25</x:v>
      </x:c>
      <x:c r="G500" s="59" t="n">
        <x:f>IF(F500="","",F500-E500)</x:f>
        <x:v>-1.3399999999999999</x:v>
      </x:c>
      <x:c r="H500" s="59" t="n">
        <x:f>IF(G500="","",ABS(G500))</x:f>
        <x:v>1.3399999999999999</x:v>
      </x:c>
      <x:c r="I500" s="60" t="n">
        <x:f>IF(G500="","",ABS(G500/E500)*100)</x:f>
        <x:v>23.97137745974955</x:v>
      </x:c>
      <x:c r="J500" s="33" t="str">
        <x:v>Symplectoteuthis</x:v>
      </x:c>
      <x:c r="K500" s="33" t="str">
        <x:v>Ommastrephidae</x:v>
      </x:c>
      <x:c r="L500" s="33" t="str">
        <x:v>Pelagic squids</x:v>
      </x:c>
      <x:c r="M500" s="33" t="str">
        <x:v>Cephalopoda</x:v>
      </x:c>
    </x:row>
    <x:row r="501">
      <x:c r="A501" s="33" t="str">
        <x:v>Broad group</x:v>
      </x:c>
      <x:c r="B501" s="33" t="str">
        <x:v>Ecological proxy</x:v>
      </x:c>
      <x:c r="C501" s="33" t="str">
        <x:v>Benthic bivalves</x:v>
      </x:c>
      <x:c r="D501" s="33" t="str">
        <x:v>Clinocardium ciliatum</x:v>
      </x:c>
      <x:c r="E501" s="59" t="n">
        <x:v>1.57</x:v>
      </x:c>
      <x:c r="F501" s="59" t="n">
        <x:v>2.39</x:v>
      </x:c>
      <x:c r="G501" s="59" t="n">
        <x:f>IF(F501="","",F501-E501)</x:f>
        <x:v>0.8200000000000001</x:v>
      </x:c>
      <x:c r="H501" s="59" t="n">
        <x:f>IF(G501="","",ABS(G501))</x:f>
        <x:v>0.8200000000000001</x:v>
      </x:c>
      <x:c r="I501" s="60" t="n">
        <x:f>IF(G501="","",ABS(G501/E501)*100)</x:f>
        <x:v>52.22929936305732</x:v>
      </x:c>
      <x:c r="J501" s="33" t="str">
        <x:v>Clinocardium</x:v>
      </x:c>
      <x:c r="K501" s="33" t="str">
        <x:v>Cardiidae</x:v>
      </x:c>
      <x:c r="L501" s="33" t="str">
        <x:v>Benthic bivalves</x:v>
      </x:c>
      <x:c r="M501" s="33" t="str">
        <x:v>Mollusca (non-cephalopods)</x:v>
      </x:c>
    </x:row>
    <x:row r="502">
      <x:c r="A502" s="33" t="str">
        <x:v>Broad group</x:v>
      </x:c>
      <x:c r="B502" s="33" t="str">
        <x:v>Ecological proxy</x:v>
      </x:c>
      <x:c r="C502" s="33" t="str">
        <x:v>Benthic bivalves</x:v>
      </x:c>
      <x:c r="D502" s="33" t="str">
        <x:v>Yoldia sapotilla</x:v>
      </x:c>
      <x:c r="E502" s="59" t="n">
        <x:v>2.88</x:v>
      </x:c>
      <x:c r="F502" s="59" t="n">
        <x:v>2.39</x:v>
      </x:c>
      <x:c r="G502" s="59" t="n">
        <x:f>IF(F502="","",F502-E502)</x:f>
        <x:v>-0.48999999999999977</x:v>
      </x:c>
      <x:c r="H502" s="59" t="n">
        <x:f>IF(G502="","",ABS(G502))</x:f>
        <x:v>0.48999999999999977</x:v>
      </x:c>
      <x:c r="I502" s="60" t="n">
        <x:f>IF(G502="","",ABS(G502/E502)*100)</x:f>
        <x:v>17.013888888888882</x:v>
      </x:c>
      <x:c r="J502" s="33" t="str">
        <x:v>Yoldia</x:v>
      </x:c>
      <x:c r="K502" s="33" t="str">
        <x:v>Yoldiidae</x:v>
      </x:c>
      <x:c r="L502" s="33" t="str">
        <x:v>Benthic bivalves</x:v>
      </x:c>
      <x:c r="M502" s="33" t="str">
        <x:v>Mollusca (non-cephalopods)</x:v>
      </x:c>
    </x:row>
    <x:row r="503">
      <x:c r="A503" s="33" t="str">
        <x:v>Broad group</x:v>
      </x:c>
      <x:c r="B503" s="33" t="str">
        <x:v>Ecological proxy</x:v>
      </x:c>
      <x:c r="C503" s="33" t="str">
        <x:v>Benthic bivalves</x:v>
      </x:c>
      <x:c r="D503" s="33" t="str">
        <x:v>Yoldia thraciaeformis</x:v>
      </x:c>
      <x:c r="E503" s="59" t="n">
        <x:v>2.13</x:v>
      </x:c>
      <x:c r="F503" s="59" t="n">
        <x:v>2.39</x:v>
      </x:c>
      <x:c r="G503" s="59" t="n">
        <x:f>IF(F503="","",F503-E503)</x:f>
        <x:v>0.26000000000000023</x:v>
      </x:c>
      <x:c r="H503" s="59" t="n">
        <x:f>IF(G503="","",ABS(G503))</x:f>
        <x:v>0.26000000000000023</x:v>
      </x:c>
      <x:c r="I503" s="60" t="n">
        <x:f>IF(G503="","",ABS(G503/E503)*100)</x:f>
        <x:v>12.206572769953063</x:v>
      </x:c>
      <x:c r="J503" s="33" t="str">
        <x:v>Yoldia</x:v>
      </x:c>
      <x:c r="K503" s="33" t="str">
        <x:v>Yoldiidae</x:v>
      </x:c>
      <x:c r="L503" s="33" t="str">
        <x:v>Benthic bivalves</x:v>
      </x:c>
      <x:c r="M503" s="33" t="str">
        <x:v>Mollusca (non-cephalopods)</x:v>
      </x:c>
    </x:row>
    <x:row r="504">
      <x:c r="A504" s="33" t="str">
        <x:v>Broad group</x:v>
      </x:c>
      <x:c r="B504" s="33" t="str">
        <x:v>Ecological proxy</x:v>
      </x:c>
      <x:c r="C504" s="33" t="str">
        <x:v>Other benthic polychaetes</x:v>
      </x:c>
      <x:c r="D504" s="33" t="str">
        <x:v>Aphrodita hastata</x:v>
      </x:c>
      <x:c r="E504" s="59" t="n">
        <x:v>2.03</x:v>
      </x:c>
      <x:c r="F504" s="59" t="n">
        <x:v>1.335</x:v>
      </x:c>
      <x:c r="G504" s="59" t="n">
        <x:f>IF(F504="","",F504-E504)</x:f>
        <x:v>-0.6949999999999998</x:v>
      </x:c>
      <x:c r="H504" s="59" t="n">
        <x:f>IF(G504="","",ABS(G504))</x:f>
        <x:v>0.6949999999999998</x:v>
      </x:c>
      <x:c r="I504" s="60" t="n">
        <x:f>IF(G504="","",ABS(G504/E504)*100)</x:f>
        <x:v>34.23645320197044</x:v>
      </x:c>
      <x:c r="J504" s="33" t="str">
        <x:v>Aphrodita</x:v>
      </x:c>
      <x:c r="K504" s="33" t="str">
        <x:v>Aphroditidae</x:v>
      </x:c>
      <x:c r="L504" s="33" t="str">
        <x:v>Other benthic polychaetes</x:v>
      </x:c>
      <x:c r="M504" s="33" t="str">
        <x:v>Annelida</x:v>
      </x:c>
    </x:row>
    <x:row r="505">
      <x:c r="A505" s="33" t="str">
        <x:v>Broad group</x:v>
      </x:c>
      <x:c r="B505" s="33" t="str">
        <x:v>Ecological proxy</x:v>
      </x:c>
      <x:c r="C505" s="33" t="str">
        <x:v>Other benthic polychaetes</x:v>
      </x:c>
      <x:c r="D505" s="33" t="str">
        <x:v>Luabrinereis fragilis</x:v>
      </x:c>
      <x:c r="E505" s="59" t="n">
        <x:v>4.43</x:v>
      </x:c>
      <x:c r="F505" s="59" t="n">
        <x:v>1.335</x:v>
      </x:c>
      <x:c r="G505" s="59" t="n">
        <x:f>IF(F505="","",F505-E505)</x:f>
        <x:v>-3.0949999999999998</x:v>
      </x:c>
      <x:c r="H505" s="59" t="n">
        <x:f>IF(G505="","",ABS(G505))</x:f>
        <x:v>3.0949999999999998</x:v>
      </x:c>
      <x:c r="I505" s="60" t="n">
        <x:f>IF(G505="","",ABS(G505/E505)*100)</x:f>
        <x:v>69.8645598194131</x:v>
      </x:c>
      <x:c r="J505" s="33" t="str">
        <x:v>Luabrinereis</x:v>
      </x:c>
      <x:c r="K505" s="33"/>
      <x:c r="L505" s="33" t="str">
        <x:v>Other benthic polychaetes</x:v>
      </x:c>
      <x:c r="M505" s="33" t="str">
        <x:v>Annelida</x:v>
      </x:c>
    </x:row>
    <x:row r="506">
      <x:c r="A506" s="33" t="str">
        <x:v>Broad group</x:v>
      </x:c>
      <x:c r="B506" s="33" t="str">
        <x:v>Ecological proxy</x:v>
      </x:c>
      <x:c r="C506" s="33" t="str">
        <x:v>Other benthic polychaetes</x:v>
      </x:c>
      <x:c r="D506" s="33" t="str">
        <x:v>Nethys ciliata</x:v>
      </x:c>
      <x:c r="E506" s="59" t="n">
        <x:v>3.13</x:v>
      </x:c>
      <x:c r="F506" s="59" t="n">
        <x:v>1.335</x:v>
      </x:c>
      <x:c r="G506" s="59" t="n">
        <x:f>IF(F506="","",F506-E506)</x:f>
        <x:v>-1.795</x:v>
      </x:c>
      <x:c r="H506" s="59" t="n">
        <x:f>IF(G506="","",ABS(G506))</x:f>
        <x:v>1.795</x:v>
      </x:c>
      <x:c r="I506" s="60" t="n">
        <x:f>IF(G506="","",ABS(G506/E506)*100)</x:f>
        <x:v>57.34824281150159</x:v>
      </x:c>
      <x:c r="J506" s="33" t="str">
        <x:v>Nethys</x:v>
      </x:c>
      <x:c r="K506" s="33"/>
      <x:c r="L506" s="33" t="str">
        <x:v>Other benthic polychaetes</x:v>
      </x:c>
      <x:c r="M506" s="33" t="str">
        <x:v>Annelida</x:v>
      </x:c>
    </x:row>
    <x:row r="507">
      <x:c r="A507" s="33" t="str">
        <x:v>Broad group</x:v>
      </x:c>
      <x:c r="B507" s="33" t="str">
        <x:v>Ecological proxy</x:v>
      </x:c>
      <x:c r="C507" s="33" t="str">
        <x:v>Small pelagic forage fishes</x:v>
      </x:c>
      <x:c r="D507" s="33" t="str">
        <x:v>Mallotus villosus</x:v>
      </x:c>
      <x:c r="E507" s="59" t="n">
        <x:v>7.03</x:v>
      </x:c>
      <x:c r="F507" s="59" t="n">
        <x:v>5.4</x:v>
      </x:c>
      <x:c r="G507" s="59" t="n">
        <x:f>IF(F507="","",F507-E507)</x:f>
        <x:v>-1.63</x:v>
      </x:c>
      <x:c r="H507" s="59" t="n">
        <x:f>IF(G507="","",ABS(G507))</x:f>
        <x:v>1.63</x:v>
      </x:c>
      <x:c r="I507" s="60" t="n">
        <x:f>IF(G507="","",ABS(G507/E507)*100)</x:f>
        <x:v>23.186344238975813</x:v>
      </x:c>
      <x:c r="J507" s="33" t="str">
        <x:v>Mallotus</x:v>
      </x:c>
      <x:c r="K507" s="33" t="str">
        <x:v>Osmeridae</x:v>
      </x:c>
      <x:c r="L507" s="33" t="str">
        <x:v>Small pelagic forage fishes</x:v>
      </x:c>
      <x:c r="M507" s="33" t="str">
        <x:v>Teleostei</x:v>
      </x:c>
    </x:row>
    <x:row r="508">
      <x:c r="A508" s="33" t="str">
        <x:v>Broad group</x:v>
      </x:c>
      <x:c r="B508" s="33" t="str">
        <x:v>Ecological proxy</x:v>
      </x:c>
      <x:c r="C508" s="33" t="str">
        <x:v>Small pelagic forage fishes</x:v>
      </x:c>
      <x:c r="D508" s="33" t="str">
        <x:v>Thaleichthys pacificus</x:v>
      </x:c>
      <x:c r="E508" s="59" t="n">
        <x:v>11.05</x:v>
      </x:c>
      <x:c r="F508" s="59" t="n">
        <x:v>5.4</x:v>
      </x:c>
      <x:c r="G508" s="59" t="n">
        <x:f>IF(F508="","",F508-E508)</x:f>
        <x:v>-5.65</x:v>
      </x:c>
      <x:c r="H508" s="59" t="n">
        <x:f>IF(G508="","",ABS(G508))</x:f>
        <x:v>5.65</x:v>
      </x:c>
      <x:c r="I508" s="60" t="n">
        <x:f>IF(G508="","",ABS(G508/E508)*100)</x:f>
        <x:v>51.13122171945701</x:v>
      </x:c>
      <x:c r="J508" s="33" t="str">
        <x:v>Thaleichthys</x:v>
      </x:c>
      <x:c r="K508" s="33" t="str">
        <x:v>Osmeridae</x:v>
      </x:c>
      <x:c r="L508" s="33" t="str">
        <x:v>Small pelagic forage fishes</x:v>
      </x:c>
      <x:c r="M508" s="33" t="str">
        <x:v>Teleostei</x:v>
      </x:c>
    </x:row>
    <x:row r="509">
      <x:c r="A509" s="33" t="str">
        <x:v>Broad group</x:v>
      </x:c>
      <x:c r="B509" s="33" t="str">
        <x:v>Ecological proxy</x:v>
      </x:c>
      <x:c r="C509" s="33" t="str">
        <x:v>Small pelagic forage fishes</x:v>
      </x:c>
      <x:c r="D509" s="33" t="str">
        <x:v>Ammodytes hexapterus</x:v>
      </x:c>
      <x:c r="E509" s="59" t="n">
        <x:v>4.95</x:v>
      </x:c>
      <x:c r="F509" s="59" t="n">
        <x:v>5.4</x:v>
      </x:c>
      <x:c r="G509" s="59" t="n">
        <x:f>IF(F509="","",F509-E509)</x:f>
        <x:v>0.4500000000000002</x:v>
      </x:c>
      <x:c r="H509" s="59" t="n">
        <x:f>IF(G509="","",ABS(G509))</x:f>
        <x:v>0.4500000000000002</x:v>
      </x:c>
      <x:c r="I509" s="60" t="n">
        <x:f>IF(G509="","",ABS(G509/E509)*100)</x:f>
        <x:v>9.090909090909093</x:v>
      </x:c>
      <x:c r="J509" s="33" t="str">
        <x:v>Ammodytes</x:v>
      </x:c>
      <x:c r="K509" s="33" t="str">
        <x:v>Ammodytidae</x:v>
      </x:c>
      <x:c r="L509" s="33" t="str">
        <x:v>Small pelagic forage fishes</x:v>
      </x:c>
      <x:c r="M509" s="33" t="str">
        <x:v>Teleostei</x:v>
      </x:c>
    </x:row>
    <x:row r="510">
      <x:c r="A510" s="33" t="str">
        <x:v>Broad group</x:v>
      </x:c>
      <x:c r="B510" s="33" t="str">
        <x:v>Ecological proxy</x:v>
      </x:c>
      <x:c r="C510" s="33" t="str">
        <x:v>Small pelagic forage fishes</x:v>
      </x:c>
      <x:c r="D510" s="33" t="str">
        <x:v>Cololabis saira</x:v>
      </x:c>
      <x:c r="E510" s="59" t="n">
        <x:v>7</x:v>
      </x:c>
      <x:c r="F510" s="59" t="n">
        <x:v>5.4</x:v>
      </x:c>
      <x:c r="G510" s="59" t="n">
        <x:f>IF(F510="","",F510-E510)</x:f>
        <x:v>-1.5999999999999996</x:v>
      </x:c>
      <x:c r="H510" s="59" t="n">
        <x:f>IF(G510="","",ABS(G510))</x:f>
        <x:v>1.5999999999999996</x:v>
      </x:c>
      <x:c r="I510" s="60" t="n">
        <x:f>IF(G510="","",ABS(G510/E510)*100)</x:f>
        <x:v>22.85714285714285</x:v>
      </x:c>
      <x:c r="J510" s="33" t="str">
        <x:v>Cololabis</x:v>
      </x:c>
      <x:c r="K510" s="33" t="str">
        <x:v>Scomberesocidae</x:v>
      </x:c>
      <x:c r="L510" s="33" t="str">
        <x:v>Small pelagic forage fishes</x:v>
      </x:c>
      <x:c r="M510" s="33" t="str">
        <x:v>Teleostei</x:v>
      </x:c>
    </x:row>
    <x:row r="511">
      <x:c r="A511" s="33" t="str">
        <x:v>Broad group</x:v>
      </x:c>
      <x:c r="B511" s="33" t="str">
        <x:v>Ecological proxy</x:v>
      </x:c>
      <x:c r="C511" s="33" t="str">
        <x:v>Small pelagic forage fishes</x:v>
      </x:c>
      <x:c r="D511" s="33" t="str">
        <x:v>Clupea pallasii</x:v>
      </x:c>
      <x:c r="E511" s="59" t="n">
        <x:v>7</x:v>
      </x:c>
      <x:c r="F511" s="59" t="n">
        <x:v>5.4</x:v>
      </x:c>
      <x:c r="G511" s="59" t="n">
        <x:f>IF(F511="","",F511-E511)</x:f>
        <x:v>-1.5999999999999996</x:v>
      </x:c>
      <x:c r="H511" s="59" t="n">
        <x:f>IF(G511="","",ABS(G511))</x:f>
        <x:v>1.5999999999999996</x:v>
      </x:c>
      <x:c r="I511" s="60" t="n">
        <x:f>IF(G511="","",ABS(G511/E511)*100)</x:f>
        <x:v>22.85714285714285</x:v>
      </x:c>
      <x:c r="J511" s="33" t="str">
        <x:v>Clupea</x:v>
      </x:c>
      <x:c r="K511" s="33" t="str">
        <x:v>Clupeidae</x:v>
      </x:c>
      <x:c r="L511" s="33" t="str">
        <x:v>Small pelagic forage fishes</x:v>
      </x:c>
      <x:c r="M511" s="33" t="str">
        <x:v>Teleostei</x:v>
      </x:c>
    </x:row>
    <x:row r="512">
      <x:c r="A512" s="33" t="str">
        <x:v>Broad group</x:v>
      </x:c>
      <x:c r="B512" s="33" t="str">
        <x:v>Ecological proxy</x:v>
      </x:c>
      <x:c r="C512" s="33" t="str">
        <x:v>Other demersal fishes</x:v>
      </x:c>
      <x:c r="D512" s="33" t="str">
        <x:v>Pleurogrammus monopterygius</x:v>
      </x:c>
      <x:c r="E512" s="59" t="n">
        <x:v>4.02</x:v>
      </x:c>
      <x:c r="F512" s="59" t="n">
        <x:v>5.8</x:v>
      </x:c>
      <x:c r="G512" s="59" t="n">
        <x:f>IF(F512="","",F512-E512)</x:f>
        <x:v>1.7800000000000002</x:v>
      </x:c>
      <x:c r="H512" s="59" t="n">
        <x:f>IF(G512="","",ABS(G512))</x:f>
        <x:v>1.7800000000000002</x:v>
      </x:c>
      <x:c r="I512" s="60" t="n">
        <x:f>IF(G512="","",ABS(G512/E512)*100)</x:f>
        <x:v>44.27860696517414</x:v>
      </x:c>
      <x:c r="J512" s="33" t="str">
        <x:v>Pleurogrammus</x:v>
      </x:c>
      <x:c r="K512" s="33" t="str">
        <x:v>Hexagrammidae</x:v>
      </x:c>
      <x:c r="L512" s="33" t="str">
        <x:v>Other demersal fishes</x:v>
      </x:c>
      <x:c r="M512" s="33" t="str">
        <x:v>Teleostei</x:v>
      </x:c>
    </x:row>
    <x:row r="513">
      <x:c r="A513" s="33" t="str">
        <x:v>Broad group</x:v>
      </x:c>
      <x:c r="B513" s="33" t="str">
        <x:v>Ecological proxy</x:v>
      </x:c>
      <x:c r="C513" s="33" t="str">
        <x:v>Other demersal fishes</x:v>
      </x:c>
      <x:c r="D513" s="33" t="str">
        <x:v>Ophiodon elongatus</x:v>
      </x:c>
      <x:c r="E513" s="59" t="n">
        <x:v>3.98</x:v>
      </x:c>
      <x:c r="F513" s="59" t="n">
        <x:v>5.8</x:v>
      </x:c>
      <x:c r="G513" s="59" t="n">
        <x:f>IF(F513="","",F513-E513)</x:f>
        <x:v>1.8199999999999998</x:v>
      </x:c>
      <x:c r="H513" s="59" t="n">
        <x:f>IF(G513="","",ABS(G513))</x:f>
        <x:v>1.8199999999999998</x:v>
      </x:c>
      <x:c r="I513" s="60" t="n">
        <x:f>IF(G513="","",ABS(G513/E513)*100)</x:f>
        <x:v>45.7286432160804</x:v>
      </x:c>
      <x:c r="J513" s="33" t="str">
        <x:v>Ophiodon</x:v>
      </x:c>
      <x:c r="K513" s="33" t="str">
        <x:v>Hexagrammidae</x:v>
      </x:c>
      <x:c r="L513" s="33" t="str">
        <x:v>Other demersal fishes</x:v>
      </x:c>
      <x:c r="M513" s="33" t="str">
        <x:v>Teleostei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56" t="str">
        <x:v>Baseline model comparison — common 127 leave-one-taxon-out targets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>
      <x:c r="A3" s="32" t="str">
        <x:v>Model</x:v>
      </x:c>
      <x:c r="B3" s="32" t="str">
        <x:v>Definition</x:v>
      </x:c>
      <x:c r="C3" s="32" t="str">
        <x:v>n</x:v>
      </x:c>
      <x:c r="D3" s="32" t="str">
        <x:v>MAE</x:v>
      </x:c>
      <x:c r="E3" s="32" t="str">
        <x:v>MAE 95% CI low</x:v>
      </x:c>
      <x:c r="F3" s="32" t="str">
        <x:v>MAE 95% CI high</x:v>
      </x:c>
      <x:c r="G3" s="32" t="str">
        <x:v>RMSE</x:v>
      </x:c>
      <x:c r="H3" s="32" t="str">
        <x:v>RMSE 95% CI low</x:v>
      </x:c>
      <x:c r="I3" s="32" t="str">
        <x:v>RMSE 95% CI high</x:v>
      </x:c>
      <x:c r="J3" s="32" t="str">
        <x:v>MAPE (%)</x:v>
      </x:c>
      <x:c r="K3" s="32" t="str">
        <x:v>MAPE 95% CI low</x:v>
      </x:c>
      <x:c r="L3" s="32" t="str">
        <x:v>MAPE 95% CI high</x:v>
      </x:c>
      <x:c r="M3" s="32" t="str">
        <x:v>Bias</x:v>
      </x:c>
      <x:c r="N3" s="32" t="str">
        <x:v>Median AE</x:v>
      </x:c>
      <x:c r="O3" s="32" t="str">
        <x:v>Median APE (%)</x:v>
      </x:c>
    </x:row>
    <x:row r="4">
      <x:c r="A4" s="33" t="str">
        <x:v>Global exact-taxon median</x:v>
      </x:c>
      <x:c r="B4" s="33" t="str">
        <x:v>Median of all remaining exact-taxon ED recommendations after target-taxonomy removal</x:v>
      </x:c>
      <x:c r="C4" s="57" t="n">
        <x:v>127</x:v>
      </x:c>
      <x:c r="D4" s="59" t="n">
        <x:v>1.3561417322834646</x:v>
      </x:c>
      <x:c r="E4" s="59" t="n">
        <x:v>1.150748031496063</x:v>
      </x:c>
      <x:c r="F4" s="59" t="n">
        <x:v>1.5659055118110237</x:v>
      </x:c>
      <x:c r="G4" s="59" t="n">
        <x:v>1.7995836132567895</x:v>
      </x:c>
      <x:c r="H4" s="59" t="n">
        <x:v>1.5371884166706622</x:v>
      </x:c>
      <x:c r="I4" s="59" t="n">
        <x:v>2.047060596712802</x:v>
      </x:c>
      <x:c r="J4" s="60" t="n">
        <x:v>41.95856335773678</x:v>
      </x:c>
      <x:c r="K4" s="60" t="n">
        <x:v>30.02268634253126</x:v>
      </x:c>
      <x:c r="L4" s="60" t="n">
        <x:v>55.80069305771719</x:v>
      </x:c>
      <x:c r="M4" s="59" t="n">
        <x:v>-0.012677165354331025</x:v>
      </x:c>
      <x:c r="N4" s="59" t="n">
        <x:v>1</x:v>
      </x:c>
      <x:c r="O4" s="60" t="n">
        <x:v>19.158878504672884</x:v>
      </x:c>
    </x:row>
    <x:row r="5">
      <x:c r="A5" s="33" t="str">
        <x:v>Broad-group only</x:v>
      </x:c>
      <x:c r="B5" s="33" t="str">
        <x:v>Target broad-group ED only</x:v>
      </x:c>
      <x:c r="C5" s="57" t="n">
        <x:v>127</x:v>
      </x:c>
      <x:c r="D5" s="59" t="n">
        <x:v>1.0273228346456693</x:v>
      </x:c>
      <x:c r="E5" s="59" t="n">
        <x:v>0.8644094488188977</x:v>
      </x:c>
      <x:c r="F5" s="59" t="n">
        <x:v>1.2044488188976379</x:v>
      </x:c>
      <x:c r="G5" s="59" t="n">
        <x:v>1.4261868934743827</x:v>
      </x:c>
      <x:c r="H5" s="59" t="n">
        <x:v>1.1928473676542548</x:v>
      </x:c>
      <x:c r="I5" s="59" t="n">
        <x:v>1.6613495960558575</x:v>
      </x:c>
      <x:c r="J5" s="60" t="n">
        <x:v>22.5350628496457</x:v>
      </x:c>
      <x:c r="K5" s="60" t="n">
        <x:v>18.310088661632943</x:v>
      </x:c>
      <x:c r="L5" s="60" t="n">
        <x:v>27.46572857093064</x:v>
      </x:c>
      <x:c r="M5" s="59" t="n">
        <x:v>-0.1337795275590553</x:v>
      </x:c>
      <x:c r="N5" s="59" t="n">
        <x:v>0.6399999999999997</x:v>
      </x:c>
      <x:c r="O5" s="60" t="n">
        <x:v>13.846153846153852</x:v>
      </x:c>
    </x:row>
    <x:row r="6">
      <x:c r="A6" s="33" t="str">
        <x:v>Taxonomic hierarchy (genus &gt; family &gt; broad)</x:v>
      </x:c>
      <x:c r="B6" s="33" t="str">
        <x:v>Most specific available genus, then family, then broad-group ED; ecological proxy omitted</x:v>
      </x:c>
      <x:c r="C6" s="57" t="n">
        <x:v>127</x:v>
      </x:c>
      <x:c r="D6" s="59" t="n">
        <x:v>1.0429527559055116</x:v>
      </x:c>
      <x:c r="E6" s="59" t="n">
        <x:v>0.8778346456692914</x:v>
      </x:c>
      <x:c r="F6" s="59" t="n">
        <x:v>1.227322834645669</x:v>
      </x:c>
      <x:c r="G6" s="59" t="n">
        <x:v>1.4586487248005273</x:v>
      </x:c>
      <x:c r="H6" s="59" t="n">
        <x:v>1.195165622891544</x:v>
      </x:c>
      <x:c r="I6" s="59" t="n">
        <x:v>1.7300102407416165</x:v>
      </x:c>
      <x:c r="J6" s="60" t="n">
        <x:v>22.987244806110347</x:v>
      </x:c>
      <x:c r="K6" s="60" t="n">
        <x:v>18.731959655194082</x:v>
      </x:c>
      <x:c r="L6" s="60" t="n">
        <x:v>27.966829623588843</x:v>
      </x:c>
      <x:c r="M6" s="59" t="n">
        <x:v>-0.03523622047244098</x:v>
      </x:c>
      <x:c r="N6" s="59" t="n">
        <x:v>0.7000000000000002</x:v>
      </x:c>
      <x:c r="O6" s="60" t="n">
        <x:v>16.70616113744078</x:v>
      </x:c>
    </x:row>
    <x:row r="7">
      <x:c r="A7" s="33" t="str">
        <x:v>Full PECC (genus &gt; family &gt; ecological proxy &gt; broad)</x:v>
      </x:c>
      <x:c r="B7" s="33" t="str">
        <x:v>Most specific available genus, family, ecological proxy, then broad-group ED</x:v>
      </x:c>
      <x:c r="C7" s="57" t="n">
        <x:v>127</x:v>
      </x:c>
      <x:c r="D7" s="59" t="n">
        <x:v>1.0145669291338582</x:v>
      </x:c>
      <x:c r="E7" s="59" t="n">
        <x:v>0.8549606299212599</x:v>
      </x:c>
      <x:c r="F7" s="59" t="n">
        <x:v>1.1905511811023621</x:v>
      </x:c>
      <x:c r="G7" s="59" t="n">
        <x:v>1.41753279066074</x:v>
      </x:c>
      <x:c r="H7" s="59" t="n">
        <x:v>1.158874776682751</x:v>
      </x:c>
      <x:c r="I7" s="59" t="n">
        <x:v>1.6883180140410257</x:v>
      </x:c>
      <x:c r="J7" s="60" t="n">
        <x:v>22.058025057405583</x:v>
      </x:c>
      <x:c r="K7" s="60" t="n">
        <x:v>18.179551190531395</x:v>
      </x:c>
      <x:c r="L7" s="60" t="n">
        <x:v>26.428987728221603</x:v>
      </x:c>
      <x:c r="M7" s="59" t="n">
        <x:v>-0.16236220472440943</x:v>
      </x:c>
      <x:c r="N7" s="59" t="n">
        <x:v>0.7099999999999991</x:v>
      </x:c>
      <x:c r="O7" s="60" t="n">
        <x:v>17.07692307692308</x:v>
      </x:c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</x:row>
    <x:row r="9">
      <x:c r="A9" s="25" t="str">
        <x:v>Key result: Full PECC had MAE 1.015 kJ g⁻¹ versus 1.027 for broad-group-only assignment. The mean paired absolute-error difference (Full PECC − Broad only) was −0.0128 kJ g⁻¹ (bootstrap 95% CI −0.153 to 0.127; paired Wilcoxon P = 0.524), so aggregate predictive accuracy was not significantly better than the broad-group baseline. Full PECC did outperform the naive global-median baseline.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</x:row>
  </x:sheetData>
  <x:mergeCells>
    <x:mergeCell ref="A1:O1"/>
    <x:mergeCell ref="A9:O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56" t="str">
        <x:v>Paired absolute-error comparisons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>
      <x:c r="A3" s="32" t="str">
        <x:v>Comparison</x:v>
      </x:c>
      <x:c r="B3" s="32" t="str">
        <x:v>n</x:v>
      </x:c>
      <x:c r="C3" s="32" t="str">
        <x:v>Mean AE difference (A-B)</x:v>
      </x:c>
      <x:c r="D3" s="32" t="str">
        <x:v>Bootstrap 95% CI low</x:v>
      </x:c>
      <x:c r="E3" s="32" t="str">
        <x:v>Bootstrap 95% CI high</x:v>
      </x:c>
      <x:c r="F3" s="32" t="str">
        <x:v>Median AE difference</x:v>
      </x:c>
      <x:c r="G3" s="32" t="str">
        <x:v>Wilcoxon W</x:v>
      </x:c>
      <x:c r="H3" s="32" t="str">
        <x:v>P value</x:v>
      </x:c>
      <x:c r="I3" s="32" t="str">
        <x:v>A better</x:v>
      </x:c>
      <x:c r="J3" s="32" t="str">
        <x:v>B better</x:v>
      </x:c>
      <x:c r="K3" s="32" t="str">
        <x:v>Ties</x:v>
      </x:c>
    </x:row>
    <x:row r="4">
      <x:c r="A4" s="33" t="str">
        <x:v>Full PECC vs Global median</x:v>
      </x:c>
      <x:c r="B4" s="57" t="n">
        <x:v>127</x:v>
      </x:c>
      <x:c r="C4" s="59" t="n">
        <x:v>-0.34157480314960637</x:v>
      </x:c>
      <x:c r="D4" s="59" t="n">
        <x:v>-0.5546456692913386</x:v>
      </x:c>
      <x:c r="E4" s="59" t="n">
        <x:v>-0.13551181102362214</x:v>
      </x:c>
      <x:c r="F4" s="59" t="n">
        <x:v>-0.17999999999999972</x:v>
      </x:c>
      <x:c r="G4" s="59" t="n">
        <x:v>2822</x:v>
      </x:c>
      <x:c r="H4" s="68" t="n">
        <x:v>0.004096003395057909</x:v>
      </x:c>
      <x:c r="I4" s="57" t="n">
        <x:v>75</x:v>
      </x:c>
      <x:c r="J4" s="57" t="n">
        <x:v>51</x:v>
      </x:c>
      <x:c r="K4" s="57" t="n">
        <x:v>1</x:v>
      </x:c>
    </x:row>
    <x:row r="5">
      <x:c r="A5" s="33" t="str">
        <x:v>Full PECC vs Broad only</x:v>
      </x:c>
      <x:c r="B5" s="57" t="n">
        <x:v>127</x:v>
      </x:c>
      <x:c r="C5" s="59" t="n">
        <x:v>-0.012755905511811072</x:v>
      </x:c>
      <x:c r="D5" s="59" t="n">
        <x:v>-0.15334645669291339</x:v>
      </x:c>
      <x:c r="E5" s="59" t="n">
        <x:v>0.12677165354330713</x:v>
      </x:c>
      <x:c r="F5" s="59" t="n">
        <x:v>0</x:v>
      </x:c>
      <x:c r="G5" s="59" t="n">
        <x:v>3162</x:v>
      </x:c>
      <x:c r="H5" s="68" t="n">
        <x:v>0.524499700642004</x:v>
      </x:c>
      <x:c r="I5" s="57" t="n">
        <x:v>54</x:v>
      </x:c>
      <x:c r="J5" s="57" t="n">
        <x:v>62</x:v>
      </x:c>
      <x:c r="K5" s="57" t="n">
        <x:v>11</x:v>
      </x:c>
    </x:row>
    <x:row r="6">
      <x:c r="A6" s="33" t="str">
        <x:v>Full PECC vs Taxonomic hierarchy</x:v>
      </x:c>
      <x:c r="B6" s="57" t="n">
        <x:v>127</x:v>
      </x:c>
      <x:c r="C6" s="59" t="n">
        <x:v>-0.02838582677165354</x:v>
      </x:c>
      <x:c r="D6" s="59" t="n">
        <x:v>-0.08716535433070866</x:v>
      </x:c>
      <x:c r="E6" s="59" t="n">
        <x:v>0.030669291338582705</x:v>
      </x:c>
      <x:c r="F6" s="59" t="n">
        <x:v>0</x:v>
      </x:c>
      <x:c r="G6" s="59" t="n">
        <x:v>348.5</x:v>
      </x:c>
      <x:c r="H6" s="68" t="n">
        <x:v>0.19724493414097333</x:v>
      </x:c>
      <x:c r="I6" s="57" t="n">
        <x:v>21</x:v>
      </x:c>
      <x:c r="J6" s="57" t="n">
        <x:v>21</x:v>
      </x:c>
      <x:c r="K6" s="57" t="n">
        <x:v>85</x:v>
      </x:c>
    </x:row>
    <x:row r="7">
      <x:c r="A7" s="33" t="str">
        <x:v>Broad only vs Global median</x:v>
      </x:c>
      <x:c r="B7" s="57" t="n">
        <x:v>127</x:v>
      </x:c>
      <x:c r="C7" s="59" t="n">
        <x:v>-0.3288188976377953</x:v>
      </x:c>
      <x:c r="D7" s="59" t="n">
        <x:v>-0.5173622047244094</x:v>
      </x:c>
      <x:c r="E7" s="59" t="n">
        <x:v>-0.1545275590551182</x:v>
      </x:c>
      <x:c r="F7" s="59" t="n">
        <x:v>-0.5</x:v>
      </x:c>
      <x:c r="G7" s="59" t="n">
        <x:v>3490</x:v>
      </x:c>
      <x:c r="H7" s="68" t="n">
        <x:v>0.16404154389510606</x:v>
      </x:c>
      <x:c r="I7" s="57" t="n">
        <x:v>82</x:v>
      </x:c>
      <x:c r="J7" s="57" t="n">
        <x:v>45</x:v>
      </x:c>
      <x:c r="K7" s="57" t="n">
        <x:v>0</x:v>
      </x:c>
    </x:row>
    <x:row r="8">
      <x:c r="A8" s="33" t="str">
        <x:v>Taxonomic hierarchy vs Global median</x:v>
      </x:c>
      <x:c r="B8" s="57" t="n">
        <x:v>127</x:v>
      </x:c>
      <x:c r="C8" s="59" t="n">
        <x:v>-0.3131889763779528</x:v>
      </x:c>
      <x:c r="D8" s="59" t="n">
        <x:v>-0.5305118110236221</x:v>
      </x:c>
      <x:c r="E8" s="59" t="n">
        <x:v>-0.10358267716535434</x:v>
      </x:c>
      <x:c r="F8" s="59" t="n">
        <x:v>-0.25</x:v>
      </x:c>
      <x:c r="G8" s="59" t="n">
        <x:v>3148</x:v>
      </x:c>
      <x:c r="H8" s="68" t="n">
        <x:v>0.037877397174942</x:v>
      </x:c>
      <x:c r="I8" s="57" t="n">
        <x:v>77</x:v>
      </x:c>
      <x:c r="J8" s="57" t="n">
        <x:v>49</x:v>
      </x:c>
      <x:c r="K8" s="57" t="n">
        <x:v>1</x:v>
      </x:c>
    </x:row>
    <x:row r="9">
      <x:c r="A9" s="33" t="str">
        <x:v>Taxonomic hierarchy vs Broad only</x:v>
      </x:c>
      <x:c r="B9" s="57" t="n">
        <x:v>127</x:v>
      </x:c>
      <x:c r="C9" s="59" t="n">
        <x:v>0.01562992125984247</x:v>
      </x:c>
      <x:c r="D9" s="59" t="n">
        <x:v>-0.11066929133858276</x:v>
      </x:c>
      <x:c r="E9" s="59" t="n">
        <x:v>0.1426377952755905</x:v>
      </x:c>
      <x:c r="F9" s="59" t="n">
        <x:v>0</x:v>
      </x:c>
      <x:c r="G9" s="59" t="n">
        <x:v>1376.5</x:v>
      </x:c>
      <x:c r="H9" s="68" t="n">
        <x:v>0.9527440586437127</x:v>
      </x:c>
      <x:c r="I9" s="57" t="n">
        <x:v>33</x:v>
      </x:c>
      <x:c r="J9" s="57" t="n">
        <x:v>41</x:v>
      </x:c>
      <x:c r="K9" s="57" t="n">
        <x:v>53</x:v>
      </x:c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>
      <x:c r="A11" s="25" t="str">
        <x:v>Interpretation of sign: negative mean AE difference means model A had lower absolute error than model B. The comparison of primary interest is Full PECC vs Broad only. Its confidence interval includes zero and P = 0.524, so the hierarchy should not be claimed to provide uniformly superior aggregate prediction accuracy.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</x:row>
  </x:sheetData>
  <x:mergeCells>
    <x:mergeCell ref="A1:K1"/>
    <x:mergeCell ref="A11:K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32" t="str">
        <x:v>Taxon</x:v>
      </x:c>
      <x:c r="B1" s="32" t="str">
        <x:v>Observed_ED</x:v>
      </x:c>
      <x:c r="C1" s="32" t="str">
        <x:v>Global_median_pred</x:v>
      </x:c>
      <x:c r="D1" s="32" t="str">
        <x:v>Broad_only_pred</x:v>
      </x:c>
      <x:c r="E1" s="32" t="str">
        <x:v>Taxonomic_hierarchy_pred</x:v>
      </x:c>
      <x:c r="F1" s="32" t="str">
        <x:v>Full_PECC_pred</x:v>
      </x:c>
      <x:c r="G1" s="32" t="str">
        <x:v>Full_PECC_level</x:v>
      </x:c>
      <x:c r="H1" s="32" t="str">
        <x:v>Global_AE</x:v>
      </x:c>
      <x:c r="I1" s="32" t="str">
        <x:v>Broad_AE</x:v>
      </x:c>
      <x:c r="J1" s="32" t="str">
        <x:v>Taxonomic_AE</x:v>
      </x:c>
      <x:c r="K1" s="32" t="str">
        <x:v>Full_PECC_AE</x:v>
      </x:c>
      <x:c r="L1" s="32" t="str">
        <x:v>Full_minus_Global_AE</x:v>
      </x:c>
      <x:c r="M1" s="32" t="str">
        <x:v>Full_minus_Broad_AE</x:v>
      </x:c>
      <x:c r="N1" s="32" t="str">
        <x:v>Full_minus_Taxonomic_AE</x:v>
      </x:c>
    </x:row>
    <x:row r="2">
      <x:c r="A2" s="33" t="str">
        <x:v>Meganyctiphanes norvegica</x:v>
      </x:c>
      <x:c r="B2" s="59" t="n">
        <x:v>3.9</x:v>
      </x:c>
      <x:c r="C2" s="59" t="n">
        <x:v>5.1</x:v>
      </x:c>
      <x:c r="D2" s="59" t="n">
        <x:v>3.9699999999999998</x:v>
      </x:c>
      <x:c r="E2" s="59" t="n">
        <x:v>3.73</x:v>
      </x:c>
      <x:c r="F2" s="59" t="n">
        <x:v>3.73</x:v>
      </x:c>
      <x:c r="G2" s="59" t="str">
        <x:v>Family</x:v>
      </x:c>
      <x:c r="H2" s="59" t="n">
        <x:f>ABS(C2-B2)</x:f>
        <x:v>1.1999999999999997</x:v>
      </x:c>
      <x:c r="I2" s="59" t="n">
        <x:f>ABS(D2-B2)</x:f>
        <x:v>0.06999999999999984</x:v>
      </x:c>
      <x:c r="J2" s="59" t="n">
        <x:f>ABS(E2-B2)</x:f>
        <x:v>0.16999999999999993</x:v>
      </x:c>
      <x:c r="K2" s="59" t="n">
        <x:f>ABS(F2-B2)</x:f>
        <x:v>0.16999999999999993</x:v>
      </x:c>
      <x:c r="L2" s="59" t="n">
        <x:f>K2-H2</x:f>
        <x:v>-1.0299999999999998</x:v>
      </x:c>
      <x:c r="M2" s="59" t="n">
        <x:f>K2-I2</x:f>
        <x:v>0.10000000000000009</x:v>
      </x:c>
      <x:c r="N2" s="59" t="n">
        <x:f>K2-J2</x:f>
        <x:v>0</x:v>
      </x:c>
    </x:row>
    <x:row r="3">
      <x:c r="A3" s="33" t="str">
        <x:v>Acanthephyra purpurea</x:v>
      </x:c>
      <x:c r="B3" s="59" t="n">
        <x:v>5.3</x:v>
      </x:c>
      <x:c r="C3" s="59" t="n">
        <x:v>5.1</x:v>
      </x:c>
      <x:c r="D3" s="59" t="n">
        <x:v>3.87</x:v>
      </x:c>
      <x:c r="E3" s="59" t="n">
        <x:v>3.87</x:v>
      </x:c>
      <x:c r="F3" s="59" t="n">
        <x:v>3.84</x:v>
      </x:c>
      <x:c r="G3" s="59" t="str">
        <x:v>Ecological proxy</x:v>
      </x:c>
      <x:c r="H3" s="59" t="n">
        <x:f>ABS(C3-B3)</x:f>
        <x:v>0.20000000000000018</x:v>
      </x:c>
      <x:c r="I3" s="59" t="n">
        <x:f>ABS(D3-B3)</x:f>
        <x:v>1.4299999999999997</x:v>
      </x:c>
      <x:c r="J3" s="59" t="n">
        <x:f>ABS(E3-B3)</x:f>
        <x:v>1.4299999999999997</x:v>
      </x:c>
      <x:c r="K3" s="59" t="n">
        <x:f>ABS(F3-B3)</x:f>
        <x:v>1.46</x:v>
      </x:c>
      <x:c r="L3" s="59" t="n">
        <x:f>K3-H3</x:f>
        <x:v>1.2599999999999998</x:v>
      </x:c>
      <x:c r="M3" s="59" t="n">
        <x:f>K3-I3</x:f>
        <x:v>0.03000000000000025</x:v>
      </x:c>
      <x:c r="N3" s="59" t="n">
        <x:f>K3-J3</x:f>
        <x:v>0.03000000000000025</x:v>
      </x:c>
    </x:row>
    <x:row r="4">
      <x:c r="A4" s="33" t="str">
        <x:v>Palaemon longirostris</x:v>
      </x:c>
      <x:c r="B4" s="59" t="n">
        <x:v>3.4</x:v>
      </x:c>
      <x:c r="C4" s="59" t="n">
        <x:v>5.1</x:v>
      </x:c>
      <x:c r="D4" s="59" t="n">
        <x:v>4</x:v>
      </x:c>
      <x:c r="E4" s="59" t="n">
        <x:v>4</x:v>
      </x:c>
      <x:c r="F4" s="59" t="n">
        <x:v>4.1</x:v>
      </x:c>
      <x:c r="G4" s="59" t="str">
        <x:v>Ecological proxy</x:v>
      </x:c>
      <x:c r="H4" s="59" t="n">
        <x:f>ABS(C4-B4)</x:f>
        <x:v>1.6999999999999997</x:v>
      </x:c>
      <x:c r="I4" s="59" t="n">
        <x:f>ABS(D4-B4)</x:f>
        <x:v>0.6000000000000001</x:v>
      </x:c>
      <x:c r="J4" s="59" t="n">
        <x:f>ABS(E4-B4)</x:f>
        <x:v>0.6000000000000001</x:v>
      </x:c>
      <x:c r="K4" s="59" t="n">
        <x:f>ABS(F4-B4)</x:f>
        <x:v>0.6999999999999997</x:v>
      </x:c>
      <x:c r="L4" s="59" t="n">
        <x:f>K4-H4</x:f>
        <x:v>-1</x:v>
      </x:c>
      <x:c r="M4" s="59" t="n">
        <x:f>K4-I4</x:f>
        <x:v>0.09999999999999964</x:v>
      </x:c>
      <x:c r="N4" s="59" t="n">
        <x:f>K4-J4</x:f>
        <x:v>0.09999999999999964</x:v>
      </x:c>
    </x:row>
    <x:row r="5">
      <x:c r="A5" s="33" t="str">
        <x:v>Pasiphaea sivado</x:v>
      </x:c>
      <x:c r="B5" s="59" t="n">
        <x:v>4.1</x:v>
      </x:c>
      <x:c r="C5" s="59" t="n">
        <x:v>5.1</x:v>
      </x:c>
      <x:c r="D5" s="59" t="n">
        <x:v>3.87</x:v>
      </x:c>
      <x:c r="E5" s="59" t="n">
        <x:v>3.87</x:v>
      </x:c>
      <x:c r="F5" s="59" t="n">
        <x:v>3.84</x:v>
      </x:c>
      <x:c r="G5" s="59" t="str">
        <x:v>Ecological proxy</x:v>
      </x:c>
      <x:c r="H5" s="59" t="n">
        <x:f>ABS(C5-B5)</x:f>
        <x:v>1</x:v>
      </x:c>
      <x:c r="I5" s="59" t="n">
        <x:f>ABS(D5-B5)</x:f>
        <x:v>0.22999999999999954</x:v>
      </x:c>
      <x:c r="J5" s="59" t="n">
        <x:f>ABS(E5-B5)</x:f>
        <x:v>0.22999999999999954</x:v>
      </x:c>
      <x:c r="K5" s="59" t="n">
        <x:f>ABS(F5-B5)</x:f>
        <x:v>0.2599999999999998</x:v>
      </x:c>
      <x:c r="L5" s="59" t="n">
        <x:f>K5-H5</x:f>
        <x:v>-0.7400000000000002</x:v>
      </x:c>
      <x:c r="M5" s="59" t="n">
        <x:f>K5-I5</x:f>
        <x:v>0.03000000000000025</x:v>
      </x:c>
      <x:c r="N5" s="59" t="n">
        <x:f>K5-J5</x:f>
        <x:v>0.03000000000000025</x:v>
      </x:c>
    </x:row>
    <x:row r="6">
      <x:c r="A6" s="33" t="str">
        <x:v>Pachygrapsus marmoratus</x:v>
      </x:c>
      <x:c r="B6" s="59" t="n">
        <x:v>5.8</x:v>
      </x:c>
      <x:c r="C6" s="59" t="n">
        <x:v>5.1</x:v>
      </x:c>
      <x:c r="D6" s="59" t="n">
        <x:v>3.87</x:v>
      </x:c>
      <x:c r="E6" s="59" t="n">
        <x:v>3.87</x:v>
      </x:c>
      <x:c r="F6" s="59" t="n">
        <x:v>3.07</x:v>
      </x:c>
      <x:c r="G6" s="59" t="str">
        <x:v>Ecological proxy</x:v>
      </x:c>
      <x:c r="H6" s="59" t="n">
        <x:f>ABS(C6-B6)</x:f>
        <x:v>0.7000000000000002</x:v>
      </x:c>
      <x:c r="I6" s="59" t="n">
        <x:f>ABS(D6-B6)</x:f>
        <x:v>1.9299999999999997</x:v>
      </x:c>
      <x:c r="J6" s="59" t="n">
        <x:f>ABS(E6-B6)</x:f>
        <x:v>1.9299999999999997</x:v>
      </x:c>
      <x:c r="K6" s="59" t="n">
        <x:f>ABS(F6-B6)</x:f>
        <x:v>2.73</x:v>
      </x:c>
      <x:c r="L6" s="59" t="n">
        <x:f>K6-H6</x:f>
        <x:v>2.03</x:v>
      </x:c>
      <x:c r="M6" s="59" t="n">
        <x:f>K6-I6</x:f>
        <x:v>0.8000000000000003</x:v>
      </x:c>
      <x:c r="N6" s="59" t="n">
        <x:f>K6-J6</x:f>
        <x:v>0.8000000000000003</x:v>
      </x:c>
    </x:row>
    <x:row r="7">
      <x:c r="A7" s="33" t="str">
        <x:v>Polybius henslowii</x:v>
      </x:c>
      <x:c r="B7" s="59" t="n">
        <x:v>4.2</x:v>
      </x:c>
      <x:c r="C7" s="59" t="n">
        <x:v>5.1</x:v>
      </x:c>
      <x:c r="D7" s="59" t="n">
        <x:v>3.87</x:v>
      </x:c>
      <x:c r="E7" s="59" t="n">
        <x:v>6.9</x:v>
      </x:c>
      <x:c r="F7" s="59" t="n">
        <x:v>6.9</x:v>
      </x:c>
      <x:c r="G7" s="59" t="str">
        <x:v>Family</x:v>
      </x:c>
      <x:c r="H7" s="59" t="n">
        <x:f>ABS(C7-B7)</x:f>
        <x:v>0.8999999999999995</x:v>
      </x:c>
      <x:c r="I7" s="59" t="n">
        <x:f>ABS(D7-B7)</x:f>
        <x:v>0.33000000000000007</x:v>
      </x:c>
      <x:c r="J7" s="59" t="n">
        <x:f>ABS(E7-B7)</x:f>
        <x:v>2.7</x:v>
      </x:c>
      <x:c r="K7" s="59" t="n">
        <x:f>ABS(F7-B7)</x:f>
        <x:v>2.7</x:v>
      </x:c>
      <x:c r="L7" s="59" t="n">
        <x:f>K7-H7</x:f>
        <x:v>1.8000000000000007</x:v>
      </x:c>
      <x:c r="M7" s="59" t="n">
        <x:f>K7-I7</x:f>
        <x:v>2.37</x:v>
      </x:c>
      <x:c r="N7" s="59" t="n">
        <x:f>K7-J7</x:f>
        <x:v>0</x:v>
      </x:c>
    </x:row>
    <x:row r="8">
      <x:c r="A8" s="33" t="str">
        <x:v>Necora puber</x:v>
      </x:c>
      <x:c r="B8" s="59" t="n">
        <x:v>6.9</x:v>
      </x:c>
      <x:c r="C8" s="59" t="n">
        <x:v>5.1</x:v>
      </x:c>
      <x:c r="D8" s="59" t="n">
        <x:v>3.87</x:v>
      </x:c>
      <x:c r="E8" s="59" t="n">
        <x:v>4.2</x:v>
      </x:c>
      <x:c r="F8" s="59" t="n">
        <x:v>4.2</x:v>
      </x:c>
      <x:c r="G8" s="59" t="str">
        <x:v>Family</x:v>
      </x:c>
      <x:c r="H8" s="59" t="n">
        <x:f>ABS(C8-B8)</x:f>
        <x:v>1.8000000000000007</x:v>
      </x:c>
      <x:c r="I8" s="59" t="n">
        <x:f>ABS(D8-B8)</x:f>
        <x:v>3.0300000000000002</x:v>
      </x:c>
      <x:c r="J8" s="59" t="n">
        <x:f>ABS(E8-B8)</x:f>
        <x:v>2.7</x:v>
      </x:c>
      <x:c r="K8" s="59" t="n">
        <x:f>ABS(F8-B8)</x:f>
        <x:v>2.7</x:v>
      </x:c>
      <x:c r="L8" s="59" t="n">
        <x:f>K8-H8</x:f>
        <x:v>0.8999999999999995</x:v>
      </x:c>
      <x:c r="M8" s="59" t="n">
        <x:f>K8-I8</x:f>
        <x:v>-0.33000000000000007</x:v>
      </x:c>
      <x:c r="N8" s="59" t="n">
        <x:f>K8-J8</x:f>
        <x:v>0</x:v>
      </x:c>
    </x:row>
    <x:row r="9">
      <x:c r="A9" s="33" t="str">
        <x:v>Loligo forbesi</x:v>
      </x:c>
      <x:c r="B9" s="59" t="n">
        <x:v>4.6</x:v>
      </x:c>
      <x:c r="C9" s="59" t="n">
        <x:v>5.1</x:v>
      </x:c>
      <x:c r="D9" s="59" t="n">
        <x:v>4.75</x:v>
      </x:c>
      <x:c r="E9" s="59" t="n">
        <x:v>4.8</x:v>
      </x:c>
      <x:c r="F9" s="59" t="n">
        <x:v>4.8</x:v>
      </x:c>
      <x:c r="G9" s="59" t="str">
        <x:v>Genus</x:v>
      </x:c>
      <x:c r="H9" s="59" t="n">
        <x:f>ABS(C9-B9)</x:f>
        <x:v>0.5</x:v>
      </x:c>
      <x:c r="I9" s="59" t="n">
        <x:f>ABS(D9-B9)</x:f>
        <x:v>0.15000000000000036</x:v>
      </x:c>
      <x:c r="J9" s="59" t="n">
        <x:f>ABS(E9-B9)</x:f>
        <x:v>0.20000000000000018</x:v>
      </x:c>
      <x:c r="K9" s="59" t="n">
        <x:f>ABS(F9-B9)</x:f>
        <x:v>0.20000000000000018</x:v>
      </x:c>
      <x:c r="L9" s="59" t="n">
        <x:f>K9-H9</x:f>
        <x:v>-0.2999999999999998</x:v>
      </x:c>
      <x:c r="M9" s="59" t="n">
        <x:f>K9-I9</x:f>
        <x:v>0.04999999999999982</x:v>
      </x:c>
      <x:c r="N9" s="59" t="n">
        <x:f>K9-J9</x:f>
        <x:v>0</x:v>
      </x:c>
    </x:row>
    <x:row r="10">
      <x:c r="A10" s="33" t="str">
        <x:v>Loligo vulgaris</x:v>
      </x:c>
      <x:c r="B10" s="59" t="n">
        <x:v>4.8</x:v>
      </x:c>
      <x:c r="C10" s="59" t="n">
        <x:v>5.1</x:v>
      </x:c>
      <x:c r="D10" s="59" t="n">
        <x:v>4.65</x:v>
      </x:c>
      <x:c r="E10" s="59" t="n">
        <x:v>4.6</x:v>
      </x:c>
      <x:c r="F10" s="59" t="n">
        <x:v>4.6</x:v>
      </x:c>
      <x:c r="G10" s="59" t="str">
        <x:v>Genus</x:v>
      </x:c>
      <x:c r="H10" s="59" t="n">
        <x:f>ABS(C10-B10)</x:f>
        <x:v>0.2999999999999998</x:v>
      </x:c>
      <x:c r="I10" s="59" t="n">
        <x:f>ABS(D10-B10)</x:f>
        <x:v>0.14999999999999947</x:v>
      </x:c>
      <x:c r="J10" s="59" t="n">
        <x:f>ABS(E10-B10)</x:f>
        <x:v>0.20000000000000018</x:v>
      </x:c>
      <x:c r="K10" s="59" t="n">
        <x:f>ABS(F10-B10)</x:f>
        <x:v>0.20000000000000018</x:v>
      </x:c>
      <x:c r="L10" s="59" t="n">
        <x:f>K10-H10</x:f>
        <x:v>-0.09999999999999964</x:v>
      </x:c>
      <x:c r="M10" s="59" t="n">
        <x:f>K10-I10</x:f>
        <x:v>0.05000000000000071</x:v>
      </x:c>
      <x:c r="N10" s="59" t="n">
        <x:f>K10-J10</x:f>
        <x:v>0</x:v>
      </x:c>
    </x:row>
    <x:row r="11">
      <x:c r="A11" s="33" t="str">
        <x:v>Illex coindeti</x:v>
      </x:c>
      <x:c r="B11" s="59" t="n">
        <x:v>4.3</x:v>
      </x:c>
      <x:c r="C11" s="59" t="n">
        <x:v>5.1</x:v>
      </x:c>
      <x:c r="D11" s="59" t="n">
        <x:v>4.75</x:v>
      </x:c>
      <x:c r="E11" s="59" t="n">
        <x:v>5.45</x:v>
      </x:c>
      <x:c r="F11" s="59" t="n">
        <x:v>5.45</x:v>
      </x:c>
      <x:c r="G11" s="59" t="str">
        <x:v>Genus</x:v>
      </x:c>
      <x:c r="H11" s="59" t="n">
        <x:f>ABS(C11-B11)</x:f>
        <x:v>0.7999999999999998</x:v>
      </x:c>
      <x:c r="I11" s="59" t="n">
        <x:f>ABS(D11-B11)</x:f>
        <x:v>0.4500000000000002</x:v>
      </x:c>
      <x:c r="J11" s="59" t="n">
        <x:f>ABS(E11-B11)</x:f>
        <x:v>1.1500000000000004</x:v>
      </x:c>
      <x:c r="K11" s="59" t="n">
        <x:f>ABS(F11-B11)</x:f>
        <x:v>1.1500000000000004</x:v>
      </x:c>
      <x:c r="L11" s="59" t="n">
        <x:f>K11-H11</x:f>
        <x:v>0.35000000000000053</x:v>
      </x:c>
      <x:c r="M11" s="59" t="n">
        <x:f>K11-I11</x:f>
        <x:v>0.7000000000000002</x:v>
      </x:c>
      <x:c r="N11" s="59" t="n">
        <x:f>K11-J11</x:f>
        <x:v>0</x:v>
      </x:c>
    </x:row>
    <x:row r="12">
      <x:c r="A12" s="33" t="str">
        <x:v>Todaropsis eblanae</x:v>
      </x:c>
      <x:c r="B12" s="59" t="n">
        <x:v>4.4</x:v>
      </x:c>
      <x:c r="C12" s="59" t="n">
        <x:v>5.1</x:v>
      </x:c>
      <x:c r="D12" s="59" t="n">
        <x:v>4.75</x:v>
      </x:c>
      <x:c r="E12" s="59" t="n">
        <x:v>4.875</x:v>
      </x:c>
      <x:c r="F12" s="59" t="n">
        <x:v>4.875</x:v>
      </x:c>
      <x:c r="G12" s="59" t="str">
        <x:v>Family</x:v>
      </x:c>
      <x:c r="H12" s="59" t="n">
        <x:f>ABS(C12-B12)</x:f>
        <x:v>0.6999999999999993</x:v>
      </x:c>
      <x:c r="I12" s="59" t="n">
        <x:f>ABS(D12-B12)</x:f>
        <x:v>0.34999999999999964</x:v>
      </x:c>
      <x:c r="J12" s="59" t="n">
        <x:f>ABS(E12-B12)</x:f>
        <x:v>0.47499999999999964</x:v>
      </x:c>
      <x:c r="K12" s="59" t="n">
        <x:f>ABS(F12-B12)</x:f>
        <x:v>0.47499999999999964</x:v>
      </x:c>
      <x:c r="L12" s="59" t="n">
        <x:f>K12-H12</x:f>
        <x:v>-0.22499999999999964</x:v>
      </x:c>
      <x:c r="M12" s="59" t="n">
        <x:f>K12-I12</x:f>
        <x:v>0.125</x:v>
      </x:c>
      <x:c r="N12" s="59" t="n">
        <x:f>K12-J12</x:f>
        <x:v>0</x:v>
      </x:c>
    </x:row>
    <x:row r="13">
      <x:c r="A13" s="33" t="str">
        <x:v>Sepia officinalis</x:v>
      </x:c>
      <x:c r="B13" s="59" t="n">
        <x:v>3.8</x:v>
      </x:c>
      <x:c r="C13" s="59" t="n">
        <x:v>5.1</x:v>
      </x:c>
      <x:c r="D13" s="59" t="n">
        <x:v>4.75</x:v>
      </x:c>
      <x:c r="E13" s="59" t="n">
        <x:v>4.75</x:v>
      </x:c>
      <x:c r="F13" s="59" t="n">
        <x:v>4.75</x:v>
      </x:c>
      <x:c r="G13" s="59" t="str">
        <x:v>Broad</x:v>
      </x:c>
      <x:c r="H13" s="59" t="n">
        <x:f>ABS(C13-B13)</x:f>
        <x:v>1.2999999999999998</x:v>
      </x:c>
      <x:c r="I13" s="59" t="n">
        <x:f>ABS(D13-B13)</x:f>
        <x:v>0.9500000000000002</x:v>
      </x:c>
      <x:c r="J13" s="59" t="n">
        <x:f>ABS(E13-B13)</x:f>
        <x:v>0.9500000000000002</x:v>
      </x:c>
      <x:c r="K13" s="59" t="n">
        <x:f>ABS(F13-B13)</x:f>
        <x:v>0.9500000000000002</x:v>
      </x:c>
      <x:c r="L13" s="59" t="n">
        <x:f>K13-H13</x:f>
        <x:v>-0.34999999999999964</x:v>
      </x:c>
      <x:c r="M13" s="59" t="n">
        <x:f>K13-I13</x:f>
        <x:v>0</x:v>
      </x:c>
      <x:c r="N13" s="59" t="n">
        <x:f>K13-J13</x:f>
        <x:v>0</x:v>
      </x:c>
    </x:row>
    <x:row r="14">
      <x:c r="A14" s="33" t="str">
        <x:v>Eledone cirrhosa</x:v>
      </x:c>
      <x:c r="B14" s="59" t="n">
        <x:v>4.7</x:v>
      </x:c>
      <x:c r="C14" s="59" t="n">
        <x:v>5.1</x:v>
      </x:c>
      <x:c r="D14" s="59" t="n">
        <x:v>4.699999999999999</x:v>
      </x:c>
      <x:c r="E14" s="59" t="n">
        <x:v>4.699999999999999</x:v>
      </x:c>
      <x:c r="F14" s="59" t="n">
        <x:v>4.699999999999999</x:v>
      </x:c>
      <x:c r="G14" s="59" t="str">
        <x:v>Broad</x:v>
      </x:c>
      <x:c r="H14" s="59" t="n">
        <x:f>ABS(C14-B14)</x:f>
        <x:v>0.39999999999999947</x:v>
      </x:c>
      <x:c r="I14" s="59" t="n">
        <x:f>ABS(D14-B14)</x:f>
        <x:v>8.881784197001252e-16</x:v>
      </x:c>
      <x:c r="J14" s="59" t="n">
        <x:f>ABS(E14-B14)</x:f>
        <x:v>8.881784197001252e-16</x:v>
      </x:c>
      <x:c r="K14" s="59" t="n">
        <x:f>ABS(F14-B14)</x:f>
        <x:v>8.881784197001252e-16</x:v>
      </x:c>
      <x:c r="L14" s="59" t="n">
        <x:f>K14-H14</x:f>
        <x:v>-0.3999999999999986</x:v>
      </x:c>
      <x:c r="M14" s="59" t="n">
        <x:f>K14-I14</x:f>
        <x:v>0</x:v>
      </x:c>
      <x:c r="N14" s="59" t="n">
        <x:f>K14-J14</x:f>
        <x:v>0</x:v>
      </x:c>
    </x:row>
    <x:row r="15">
      <x:c r="A15" s="33" t="str">
        <x:v>Scyliorhinus canicula</x:v>
      </x:c>
      <x:c r="B15" s="59" t="n">
        <x:v>6.4</x:v>
      </x:c>
      <x:c r="C15" s="59" t="n">
        <x:v>5.1</x:v>
      </x:c>
      <x:c r="D15" s="59" t="n">
        <x:v>4.8</x:v>
      </x:c>
      <x:c r="E15" s="59" t="n">
        <x:v>4.8</x:v>
      </x:c>
      <x:c r="F15" s="59" t="n">
        <x:v>4.8</x:v>
      </x:c>
      <x:c r="G15" s="59" t="str">
        <x:v>Broad</x:v>
      </x:c>
      <x:c r="H15" s="59" t="n">
        <x:f>ABS(C15-B15)</x:f>
        <x:v>1.3000000000000007</x:v>
      </x:c>
      <x:c r="I15" s="59" t="n">
        <x:f>ABS(D15-B15)</x:f>
        <x:v>1.6000000000000005</x:v>
      </x:c>
      <x:c r="J15" s="59" t="n">
        <x:f>ABS(E15-B15)</x:f>
        <x:v>1.6000000000000005</x:v>
      </x:c>
      <x:c r="K15" s="59" t="n">
        <x:f>ABS(F15-B15)</x:f>
        <x:v>1.6000000000000005</x:v>
      </x:c>
      <x:c r="L15" s="59" t="n">
        <x:f>K15-H15</x:f>
        <x:v>0.2999999999999998</x:v>
      </x:c>
      <x:c r="M15" s="59" t="n">
        <x:f>K15-I15</x:f>
        <x:v>0</x:v>
      </x:c>
      <x:c r="N15" s="59" t="n">
        <x:f>K15-J15</x:f>
        <x:v>0</x:v>
      </x:c>
    </x:row>
    <x:row r="16">
      <x:c r="A16" s="33" t="str">
        <x:v>Leucoraja naevus</x:v>
      </x:c>
      <x:c r="B16" s="59" t="n">
        <x:v>5.7</x:v>
      </x:c>
      <x:c r="C16" s="59" t="n">
        <x:v>5.1</x:v>
      </x:c>
      <x:c r="D16" s="59" t="n">
        <x:v>5.15</x:v>
      </x:c>
      <x:c r="E16" s="59" t="n">
        <x:v>5.15</x:v>
      </x:c>
      <x:c r="F16" s="59" t="n">
        <x:v>5.15</x:v>
      </x:c>
      <x:c r="G16" s="59" t="str">
        <x:v>Broad</x:v>
      </x:c>
      <x:c r="H16" s="59" t="n">
        <x:f>ABS(C16-B16)</x:f>
        <x:v>0.6000000000000005</x:v>
      </x:c>
      <x:c r="I16" s="59" t="n">
        <x:f>ABS(D16-B16)</x:f>
        <x:v>0.5499999999999998</x:v>
      </x:c>
      <x:c r="J16" s="59" t="n">
        <x:f>ABS(E16-B16)</x:f>
        <x:v>0.5499999999999998</x:v>
      </x:c>
      <x:c r="K16" s="59" t="n">
        <x:f>ABS(F16-B16)</x:f>
        <x:v>0.5499999999999998</x:v>
      </x:c>
      <x:c r="L16" s="59" t="n">
        <x:f>K16-H16</x:f>
        <x:v>-0.05000000000000071</x:v>
      </x:c>
      <x:c r="M16" s="59" t="n">
        <x:f>K16-I16</x:f>
        <x:v>0</x:v>
      </x:c>
      <x:c r="N16" s="59" t="n">
        <x:f>K16-J16</x:f>
        <x:v>0</x:v>
      </x:c>
    </x:row>
    <x:row r="17">
      <x:c r="A17" s="33" t="str">
        <x:v>Chimaera monstrosa</x:v>
      </x:c>
      <x:c r="B17" s="59" t="n">
        <x:v>3.9</x:v>
      </x:c>
      <x:c r="C17" s="59" t="n">
        <x:v>5.1</x:v>
      </x:c>
      <x:c r="D17" s="59" t="n">
        <x:v>6.050000000000001</x:v>
      </x:c>
      <x:c r="E17" s="59" t="n">
        <x:v>6.050000000000001</x:v>
      </x:c>
      <x:c r="F17" s="59" t="n">
        <x:v>6.050000000000001</x:v>
      </x:c>
      <x:c r="G17" s="59" t="str">
        <x:v>Broad</x:v>
      </x:c>
      <x:c r="H17" s="59" t="n">
        <x:f>ABS(C17-B17)</x:f>
        <x:v>1.1999999999999997</x:v>
      </x:c>
      <x:c r="I17" s="59" t="n">
        <x:f>ABS(D17-B17)</x:f>
        <x:v>2.150000000000001</x:v>
      </x:c>
      <x:c r="J17" s="59" t="n">
        <x:f>ABS(E17-B17)</x:f>
        <x:v>2.150000000000001</x:v>
      </x:c>
      <x:c r="K17" s="59" t="n">
        <x:f>ABS(F17-B17)</x:f>
        <x:v>2.150000000000001</x:v>
      </x:c>
      <x:c r="L17" s="59" t="n">
        <x:f>K17-H17</x:f>
        <x:v>0.9500000000000011</x:v>
      </x:c>
      <x:c r="M17" s="59" t="n">
        <x:f>K17-I17</x:f>
        <x:v>0</x:v>
      </x:c>
      <x:c r="N17" s="59" t="n">
        <x:f>K17-J17</x:f>
        <x:v>0</x:v>
      </x:c>
    </x:row>
    <x:row r="18">
      <x:c r="A18" s="33" t="str">
        <x:v>Serrivomer beanii</x:v>
      </x:c>
      <x:c r="B18" s="59" t="n">
        <x:v>2.1</x:v>
      </x:c>
      <x:c r="C18" s="59" t="n">
        <x:v>5.1</x:v>
      </x:c>
      <x:c r="D18" s="59" t="n">
        <x:v>5.64</x:v>
      </x:c>
      <x:c r="E18" s="59" t="n">
        <x:v>5.64</x:v>
      </x:c>
      <x:c r="F18" s="59" t="n">
        <x:v>4.92</x:v>
      </x:c>
      <x:c r="G18" s="59" t="str">
        <x:v>Ecological proxy</x:v>
      </x:c>
      <x:c r="H18" s="59" t="n">
        <x:f>ABS(C18-B18)</x:f>
        <x:v>2.9999999999999996</x:v>
      </x:c>
      <x:c r="I18" s="59" t="n">
        <x:f>ABS(D18-B18)</x:f>
        <x:v>3.5399999999999996</x:v>
      </x:c>
      <x:c r="J18" s="59" t="n">
        <x:f>ABS(E18-B18)</x:f>
        <x:v>3.5399999999999996</x:v>
      </x:c>
      <x:c r="K18" s="59" t="n">
        <x:f>ABS(F18-B18)</x:f>
        <x:v>2.82</x:v>
      </x:c>
      <x:c r="L18" s="59" t="n">
        <x:f>K18-H18</x:f>
        <x:v>-0.17999999999999972</x:v>
      </x:c>
      <x:c r="M18" s="59" t="n">
        <x:f>K18-I18</x:f>
        <x:v>-0.7199999999999998</x:v>
      </x:c>
      <x:c r="N18" s="59" t="n">
        <x:f>K18-J18</x:f>
        <x:v>-0.7199999999999998</x:v>
      </x:c>
    </x:row>
    <x:row r="19">
      <x:c r="A19" s="33" t="str">
        <x:v>Sprattus sprattus</x:v>
      </x:c>
      <x:c r="B19" s="59" t="n">
        <x:v>6.5</x:v>
      </x:c>
      <x:c r="C19" s="59" t="n">
        <x:v>5.1</x:v>
      </x:c>
      <x:c r="D19" s="59" t="n">
        <x:v>5.6</x:v>
      </x:c>
      <x:c r="E19" s="59" t="n">
        <x:v>6.995</x:v>
      </x:c>
      <x:c r="F19" s="59" t="n">
        <x:v>6.995</x:v>
      </x:c>
      <x:c r="G19" s="59" t="str">
        <x:v>Family</x:v>
      </x:c>
      <x:c r="H19" s="59" t="n">
        <x:f>ABS(C19-B19)</x:f>
        <x:v>1.4000000000000004</x:v>
      </x:c>
      <x:c r="I19" s="59" t="n">
        <x:f>ABS(D19-B19)</x:f>
        <x:v>0.9000000000000004</x:v>
      </x:c>
      <x:c r="J19" s="59" t="n">
        <x:f>ABS(E19-B19)</x:f>
        <x:v>0.4950000000000001</x:v>
      </x:c>
      <x:c r="K19" s="59" t="n">
        <x:f>ABS(F19-B19)</x:f>
        <x:v>0.4950000000000001</x:v>
      </x:c>
      <x:c r="L19" s="59" t="n">
        <x:f>K19-H19</x:f>
        <x:v>-0.9050000000000002</x:v>
      </x:c>
      <x:c r="M19" s="59" t="n">
        <x:f>K19-I19</x:f>
        <x:v>-0.40500000000000025</x:v>
      </x:c>
      <x:c r="N19" s="59" t="n">
        <x:f>K19-J19</x:f>
        <x:v>0</x:v>
      </x:c>
    </x:row>
    <x:row r="20">
      <x:c r="A20" s="33" t="str">
        <x:v>Sardina pilchardus</x:v>
      </x:c>
      <x:c r="B20" s="59" t="n">
        <x:v>8.7</x:v>
      </x:c>
      <x:c r="C20" s="59" t="n">
        <x:v>5.1</x:v>
      </x:c>
      <x:c r="D20" s="59" t="n">
        <x:v>5.6</x:v>
      </x:c>
      <x:c r="E20" s="59" t="n">
        <x:v>6.87</x:v>
      </x:c>
      <x:c r="F20" s="59" t="n">
        <x:v>6.87</x:v>
      </x:c>
      <x:c r="G20" s="59" t="str">
        <x:v>Family</x:v>
      </x:c>
      <x:c r="H20" s="59" t="n">
        <x:f>ABS(C20-B20)</x:f>
        <x:v>3.5999999999999996</x:v>
      </x:c>
      <x:c r="I20" s="59" t="n">
        <x:f>ABS(D20-B20)</x:f>
        <x:v>3.0999999999999996</x:v>
      </x:c>
      <x:c r="J20" s="59" t="n">
        <x:f>ABS(E20-B20)</x:f>
        <x:v>1.8299999999999992</x:v>
      </x:c>
      <x:c r="K20" s="59" t="n">
        <x:f>ABS(F20-B20)</x:f>
        <x:v>1.8299999999999992</x:v>
      </x:c>
      <x:c r="L20" s="59" t="n">
        <x:f>K20-H20</x:f>
        <x:v>-1.7700000000000005</x:v>
      </x:c>
      <x:c r="M20" s="59" t="n">
        <x:f>K20-I20</x:f>
        <x:v>-1.2700000000000005</x:v>
      </x:c>
      <x:c r="N20" s="59" t="n">
        <x:f>K20-J20</x:f>
        <x:v>0</x:v>
      </x:c>
    </x:row>
    <x:row r="21">
      <x:c r="A21" s="33" t="str">
        <x:v>Clupea harengus</x:v>
      </x:c>
      <x:c r="B21" s="59" t="n">
        <x:v>7.955</x:v>
      </x:c>
      <x:c r="C21" s="59" t="n">
        <x:v>5.1</x:v>
      </x:c>
      <x:c r="D21" s="59" t="n">
        <x:v>5.6</x:v>
      </x:c>
      <x:c r="E21" s="59" t="n">
        <x:v>7</x:v>
      </x:c>
      <x:c r="F21" s="59" t="n">
        <x:v>7</x:v>
      </x:c>
      <x:c r="G21" s="59" t="str">
        <x:v>Genus</x:v>
      </x:c>
      <x:c r="H21" s="59" t="n">
        <x:f>ABS(C21-B21)</x:f>
        <x:v>2.8550000000000004</x:v>
      </x:c>
      <x:c r="I21" s="59" t="n">
        <x:f>ABS(D21-B21)</x:f>
        <x:v>2.3550000000000004</x:v>
      </x:c>
      <x:c r="J21" s="59" t="n">
        <x:f>ABS(E21-B21)</x:f>
        <x:v>0.9550000000000001</x:v>
      </x:c>
      <x:c r="K21" s="59" t="n">
        <x:f>ABS(F21-B21)</x:f>
        <x:v>0.9550000000000001</x:v>
      </x:c>
      <x:c r="L21" s="59" t="n">
        <x:f>K21-H21</x:f>
        <x:v>-1.9000000000000004</x:v>
      </x:c>
      <x:c r="M21" s="59" t="n">
        <x:f>K21-I21</x:f>
        <x:v>-1.4000000000000004</x:v>
      </x:c>
      <x:c r="N21" s="59" t="n">
        <x:f>K21-J21</x:f>
        <x:v>0</x:v>
      </x:c>
    </x:row>
    <x:row r="22">
      <x:c r="A22" s="33" t="str">
        <x:v>Engraulis encrasicolus</x:v>
      </x:c>
      <x:c r="B22" s="59" t="n">
        <x:v>5.8</x:v>
      </x:c>
      <x:c r="C22" s="59" t="n">
        <x:v>5.1</x:v>
      </x:c>
      <x:c r="D22" s="59" t="n">
        <x:v>5.6</x:v>
      </x:c>
      <x:c r="E22" s="59" t="n">
        <x:v>7.85</x:v>
      </x:c>
      <x:c r="F22" s="59" t="n">
        <x:v>7.85</x:v>
      </x:c>
      <x:c r="G22" s="59" t="str">
        <x:v>Genus</x:v>
      </x:c>
      <x:c r="H22" s="59" t="n">
        <x:f>ABS(C22-B22)</x:f>
        <x:v>0.7000000000000002</x:v>
      </x:c>
      <x:c r="I22" s="59" t="n">
        <x:f>ABS(D22-B22)</x:f>
        <x:v>0.20000000000000018</x:v>
      </x:c>
      <x:c r="J22" s="59" t="n">
        <x:f>ABS(E22-B22)</x:f>
        <x:v>2.05</x:v>
      </x:c>
      <x:c r="K22" s="59" t="n">
        <x:f>ABS(F22-B22)</x:f>
        <x:v>2.05</x:v>
      </x:c>
      <x:c r="L22" s="59" t="n">
        <x:f>K22-H22</x:f>
        <x:v>1.3499999999999996</x:v>
      </x:c>
      <x:c r="M22" s="59" t="n">
        <x:f>K22-I22</x:f>
        <x:v>1.8499999999999996</x:v>
      </x:c>
      <x:c r="N22" s="59" t="n">
        <x:f>K22-J22</x:f>
        <x:v>0</x:v>
      </x:c>
    </x:row>
    <x:row r="23">
      <x:c r="A23" s="33" t="str">
        <x:v>Xenodermichtys copei</x:v>
      </x:c>
      <x:c r="B23" s="59" t="n">
        <x:v>2.2</x:v>
      </x:c>
      <x:c r="C23" s="59" t="n">
        <x:v>5.1</x:v>
      </x:c>
      <x:c r="D23" s="59" t="n">
        <x:v>5.64</x:v>
      </x:c>
      <x:c r="E23" s="59" t="n">
        <x:v>5.64</x:v>
      </x:c>
      <x:c r="F23" s="59" t="n">
        <x:v>4.92</x:v>
      </x:c>
      <x:c r="G23" s="59" t="str">
        <x:v>Ecological proxy</x:v>
      </x:c>
      <x:c r="H23" s="59" t="n">
        <x:f>ABS(C23-B23)</x:f>
        <x:v>2.8999999999999995</x:v>
      </x:c>
      <x:c r="I23" s="59" t="n">
        <x:f>ABS(D23-B23)</x:f>
        <x:v>3.4399999999999995</x:v>
      </x:c>
      <x:c r="J23" s="59" t="n">
        <x:f>ABS(E23-B23)</x:f>
        <x:v>3.4399999999999995</x:v>
      </x:c>
      <x:c r="K23" s="59" t="n">
        <x:f>ABS(F23-B23)</x:f>
        <x:v>2.7199999999999998</x:v>
      </x:c>
      <x:c r="L23" s="59" t="n">
        <x:f>K23-H23</x:f>
        <x:v>-0.17999999999999972</x:v>
      </x:c>
      <x:c r="M23" s="59" t="n">
        <x:f>K23-I23</x:f>
        <x:v>-0.7199999999999998</x:v>
      </x:c>
      <x:c r="N23" s="59" t="n">
        <x:f>K23-J23</x:f>
        <x:v>-0.7199999999999998</x:v>
      </x:c>
    </x:row>
    <x:row r="24">
      <x:c r="A24" s="33" t="str">
        <x:v>Argentina sphyraena</x:v>
      </x:c>
      <x:c r="B24" s="59" t="n">
        <x:v>6.1</x:v>
      </x:c>
      <x:c r="C24" s="59" t="n">
        <x:v>5.1</x:v>
      </x:c>
      <x:c r="D24" s="59" t="n">
        <x:v>5.6</x:v>
      </x:c>
      <x:c r="E24" s="59" t="n">
        <x:v>5.6</x:v>
      </x:c>
      <x:c r="F24" s="59" t="n">
        <x:v>4.92</x:v>
      </x:c>
      <x:c r="G24" s="59" t="str">
        <x:v>Ecological proxy</x:v>
      </x:c>
      <x:c r="H24" s="59" t="n">
        <x:f>ABS(C24-B24)</x:f>
        <x:v>1</x:v>
      </x:c>
      <x:c r="I24" s="59" t="n">
        <x:f>ABS(D24-B24)</x:f>
        <x:v>0.5</x:v>
      </x:c>
      <x:c r="J24" s="59" t="n">
        <x:f>ABS(E24-B24)</x:f>
        <x:v>0.5</x:v>
      </x:c>
      <x:c r="K24" s="59" t="n">
        <x:f>ABS(F24-B24)</x:f>
        <x:v>1.1799999999999997</x:v>
      </x:c>
      <x:c r="L24" s="59" t="n">
        <x:f>K24-H24</x:f>
        <x:v>0.17999999999999972</x:v>
      </x:c>
      <x:c r="M24" s="59" t="n">
        <x:f>K24-I24</x:f>
        <x:v>0.6799999999999997</x:v>
      </x:c>
      <x:c r="N24" s="59" t="n">
        <x:f>K24-J24</x:f>
        <x:v>0.6799999999999997</x:v>
      </x:c>
    </x:row>
    <x:row r="25">
      <x:c r="A25" s="33" t="str">
        <x:v>Normichthys operosa</x:v>
      </x:c>
      <x:c r="B25" s="59" t="n">
        <x:v>2.6</x:v>
      </x:c>
      <x:c r="C25" s="59" t="n">
        <x:v>5.1</x:v>
      </x:c>
      <x:c r="D25" s="59" t="n">
        <x:v>5.64</x:v>
      </x:c>
      <x:c r="E25" s="59" t="n">
        <x:v>5.64</x:v>
      </x:c>
      <x:c r="F25" s="59" t="n">
        <x:v>4.92</x:v>
      </x:c>
      <x:c r="G25" s="59" t="str">
        <x:v>Ecological proxy</x:v>
      </x:c>
      <x:c r="H25" s="59" t="n">
        <x:f>ABS(C25-B25)</x:f>
        <x:v>2.4999999999999996</x:v>
      </x:c>
      <x:c r="I25" s="59" t="n">
        <x:f>ABS(D25-B25)</x:f>
        <x:v>3.0399999999999996</x:v>
      </x:c>
      <x:c r="J25" s="59" t="n">
        <x:f>ABS(E25-B25)</x:f>
        <x:v>3.0399999999999996</x:v>
      </x:c>
      <x:c r="K25" s="59" t="n">
        <x:f>ABS(F25-B25)</x:f>
        <x:v>2.32</x:v>
      </x:c>
      <x:c r="L25" s="59" t="n">
        <x:f>K25-H25</x:f>
        <x:v>-0.17999999999999972</x:v>
      </x:c>
      <x:c r="M25" s="59" t="n">
        <x:f>K25-I25</x:f>
        <x:v>-0.7199999999999998</x:v>
      </x:c>
      <x:c r="N25" s="59" t="n">
        <x:f>K25-J25</x:f>
        <x:v>-0.7199999999999998</x:v>
      </x:c>
    </x:row>
    <x:row r="26">
      <x:c r="A26" s="33" t="str">
        <x:v>Argyropelecus olfersii</x:v>
      </x:c>
      <x:c r="B26" s="59" t="n">
        <x:v>3.5</x:v>
      </x:c>
      <x:c r="C26" s="59" t="n">
        <x:v>5.1</x:v>
      </x:c>
      <x:c r="D26" s="59" t="n">
        <x:v>5.64</x:v>
      </x:c>
      <x:c r="E26" s="59" t="n">
        <x:v>4.2</x:v>
      </x:c>
      <x:c r="F26" s="59" t="n">
        <x:v>4.2</x:v>
      </x:c>
      <x:c r="G26" s="59" t="str">
        <x:v>Family</x:v>
      </x:c>
      <x:c r="H26" s="59" t="n">
        <x:f>ABS(C26-B26)</x:f>
        <x:v>1.5999999999999996</x:v>
      </x:c>
      <x:c r="I26" s="59" t="n">
        <x:f>ABS(D26-B26)</x:f>
        <x:v>2.1399999999999997</x:v>
      </x:c>
      <x:c r="J26" s="59" t="n">
        <x:f>ABS(E26-B26)</x:f>
        <x:v>0.7000000000000002</x:v>
      </x:c>
      <x:c r="K26" s="59" t="n">
        <x:f>ABS(F26-B26)</x:f>
        <x:v>0.7000000000000002</x:v>
      </x:c>
      <x:c r="L26" s="59" t="n">
        <x:f>K26-H26</x:f>
        <x:v>-0.8999999999999995</x:v>
      </x:c>
      <x:c r="M26" s="59" t="n">
        <x:f>K26-I26</x:f>
        <x:v>-1.4399999999999995</x:v>
      </x:c>
      <x:c r="N26" s="59" t="n">
        <x:f>K26-J26</x:f>
        <x:v>0</x:v>
      </x:c>
    </x:row>
    <x:row r="27">
      <x:c r="A27" s="33" t="str">
        <x:v>Maurolicus muelleri</x:v>
      </x:c>
      <x:c r="B27" s="59" t="n">
        <x:v>4.2</x:v>
      </x:c>
      <x:c r="C27" s="59" t="n">
        <x:v>5.1</x:v>
      </x:c>
      <x:c r="D27" s="59" t="n">
        <x:v>5.64</x:v>
      </x:c>
      <x:c r="E27" s="59" t="n">
        <x:v>3.5</x:v>
      </x:c>
      <x:c r="F27" s="59" t="n">
        <x:v>3.5</x:v>
      </x:c>
      <x:c r="G27" s="59" t="str">
        <x:v>Family</x:v>
      </x:c>
      <x:c r="H27" s="59" t="n">
        <x:f>ABS(C27-B27)</x:f>
        <x:v>0.8999999999999995</x:v>
      </x:c>
      <x:c r="I27" s="59" t="n">
        <x:f>ABS(D27-B27)</x:f>
        <x:v>1.4399999999999995</x:v>
      </x:c>
      <x:c r="J27" s="59" t="n">
        <x:f>ABS(E27-B27)</x:f>
        <x:v>0.7000000000000002</x:v>
      </x:c>
      <x:c r="K27" s="59" t="n">
        <x:f>ABS(F27-B27)</x:f>
        <x:v>0.7000000000000002</x:v>
      </x:c>
      <x:c r="L27" s="59" t="n">
        <x:f>K27-H27</x:f>
        <x:v>-0.1999999999999993</x:v>
      </x:c>
      <x:c r="M27" s="59" t="n">
        <x:f>K27-I27</x:f>
        <x:v>-0.7399999999999993</x:v>
      </x:c>
      <x:c r="N27" s="59" t="n">
        <x:f>K27-J27</x:f>
        <x:v>0</x:v>
      </x:c>
    </x:row>
    <x:row r="28">
      <x:c r="A28" s="33" t="str">
        <x:v>Stomias boa</x:v>
      </x:c>
      <x:c r="B28" s="59" t="n">
        <x:v>2.8</x:v>
      </x:c>
      <x:c r="C28" s="59" t="n">
        <x:v>5.1</x:v>
      </x:c>
      <x:c r="D28" s="59" t="n">
        <x:v>5.64</x:v>
      </x:c>
      <x:c r="E28" s="59" t="n">
        <x:v>5.64</x:v>
      </x:c>
      <x:c r="F28" s="59" t="n">
        <x:v>4.92</x:v>
      </x:c>
      <x:c r="G28" s="59" t="str">
        <x:v>Ecological proxy</x:v>
      </x:c>
      <x:c r="H28" s="59" t="n">
        <x:f>ABS(C28-B28)</x:f>
        <x:v>2.3</x:v>
      </x:c>
      <x:c r="I28" s="59" t="n">
        <x:f>ABS(D28-B28)</x:f>
        <x:v>2.84</x:v>
      </x:c>
      <x:c r="J28" s="59" t="n">
        <x:f>ABS(E28-B28)</x:f>
        <x:v>2.84</x:v>
      </x:c>
      <x:c r="K28" s="59" t="n">
        <x:f>ABS(F28-B28)</x:f>
        <x:v>2.12</x:v>
      </x:c>
      <x:c r="L28" s="59" t="n">
        <x:f>K28-H28</x:f>
        <x:v>-0.17999999999999972</x:v>
      </x:c>
      <x:c r="M28" s="59" t="n">
        <x:f>K28-I28</x:f>
        <x:v>-0.7199999999999998</x:v>
      </x:c>
      <x:c r="N28" s="59" t="n">
        <x:f>K28-J28</x:f>
        <x:v>-0.7199999999999998</x:v>
      </x:c>
    </x:row>
    <x:row r="29">
      <x:c r="A29" s="33" t="str">
        <x:v>Arctozenus risso</x:v>
      </x:c>
      <x:c r="B29" s="59" t="n">
        <x:v>4.3</x:v>
      </x:c>
      <x:c r="C29" s="59" t="n">
        <x:v>5.1</x:v>
      </x:c>
      <x:c r="D29" s="59" t="n">
        <x:v>5.64</x:v>
      </x:c>
      <x:c r="E29" s="59" t="n">
        <x:v>5.64</x:v>
      </x:c>
      <x:c r="F29" s="59" t="n">
        <x:v>4.92</x:v>
      </x:c>
      <x:c r="G29" s="59" t="str">
        <x:v>Ecological proxy</x:v>
      </x:c>
      <x:c r="H29" s="59" t="n">
        <x:f>ABS(C29-B29)</x:f>
        <x:v>0.7999999999999998</x:v>
      </x:c>
      <x:c r="I29" s="59" t="n">
        <x:f>ABS(D29-B29)</x:f>
        <x:v>1.3399999999999999</x:v>
      </x:c>
      <x:c r="J29" s="59" t="n">
        <x:f>ABS(E29-B29)</x:f>
        <x:v>1.3399999999999999</x:v>
      </x:c>
      <x:c r="K29" s="59" t="n">
        <x:f>ABS(F29-B29)</x:f>
        <x:v>0.6200000000000001</x:v>
      </x:c>
      <x:c r="L29" s="59" t="n">
        <x:f>K29-H29</x:f>
        <x:v>-0.17999999999999972</x:v>
      </x:c>
      <x:c r="M29" s="59" t="n">
        <x:f>K29-I29</x:f>
        <x:v>-0.7199999999999998</x:v>
      </x:c>
      <x:c r="N29" s="59" t="n">
        <x:f>K29-J29</x:f>
        <x:v>-0.7199999999999998</x:v>
      </x:c>
    </x:row>
    <x:row r="30">
      <x:c r="A30" s="33" t="str">
        <x:v>Lampanyctus crocodilus</x:v>
      </x:c>
      <x:c r="B30" s="59" t="n">
        <x:v>4.1</x:v>
      </x:c>
      <x:c r="C30" s="59" t="n">
        <x:v>5.1</x:v>
      </x:c>
      <x:c r="D30" s="59" t="n">
        <x:v>5.64</x:v>
      </x:c>
      <x:c r="E30" s="59" t="n">
        <x:v>7</x:v>
      </x:c>
      <x:c r="F30" s="59" t="n">
        <x:v>7</x:v>
      </x:c>
      <x:c r="G30" s="59" t="str">
        <x:v>Family</x:v>
      </x:c>
      <x:c r="H30" s="59" t="n">
        <x:f>ABS(C30-B30)</x:f>
        <x:v>1</x:v>
      </x:c>
      <x:c r="I30" s="59" t="n">
        <x:f>ABS(D30-B30)</x:f>
        <x:v>1.54</x:v>
      </x:c>
      <x:c r="J30" s="59" t="n">
        <x:f>ABS(E30-B30)</x:f>
        <x:v>2.9000000000000004</x:v>
      </x:c>
      <x:c r="K30" s="59" t="n">
        <x:f>ABS(F30-B30)</x:f>
        <x:v>2.9000000000000004</x:v>
      </x:c>
      <x:c r="L30" s="59" t="n">
        <x:f>K30-H30</x:f>
        <x:v>1.9000000000000004</x:v>
      </x:c>
      <x:c r="M30" s="59" t="n">
        <x:f>K30-I30</x:f>
        <x:v>1.3600000000000003</x:v>
      </x:c>
      <x:c r="N30" s="59" t="n">
        <x:f>K30-J30</x:f>
        <x:v>0</x:v>
      </x:c>
    </x:row>
    <x:row r="31">
      <x:c r="A31" s="33" t="str">
        <x:v>Benthosema glaciale</x:v>
      </x:c>
      <x:c r="B31" s="59" t="n">
        <x:v>5.9</x:v>
      </x:c>
      <x:c r="C31" s="59" t="n">
        <x:v>5.1</x:v>
      </x:c>
      <x:c r="D31" s="59" t="n">
        <x:v>5.6</x:v>
      </x:c>
      <x:c r="E31" s="59" t="n">
        <x:v>7</x:v>
      </x:c>
      <x:c r="F31" s="59" t="n">
        <x:v>7</x:v>
      </x:c>
      <x:c r="G31" s="59" t="str">
        <x:v>Family</x:v>
      </x:c>
      <x:c r="H31" s="59" t="n">
        <x:f>ABS(C31-B31)</x:f>
        <x:v>0.8000000000000007</x:v>
      </x:c>
      <x:c r="I31" s="59" t="n">
        <x:f>ABS(D31-B31)</x:f>
        <x:v>0.3000000000000007</x:v>
      </x:c>
      <x:c r="J31" s="59" t="n">
        <x:f>ABS(E31-B31)</x:f>
        <x:v>1.0999999999999996</x:v>
      </x:c>
      <x:c r="K31" s="59" t="n">
        <x:f>ABS(F31-B31)</x:f>
        <x:v>1.0999999999999996</x:v>
      </x:c>
      <x:c r="L31" s="59" t="n">
        <x:f>K31-H31</x:f>
        <x:v>0.29999999999999893</x:v>
      </x:c>
      <x:c r="M31" s="59" t="n">
        <x:f>K31-I31</x:f>
        <x:v>0.7999999999999989</x:v>
      </x:c>
      <x:c r="N31" s="59" t="n">
        <x:f>K31-J31</x:f>
        <x:v>0</x:v>
      </x:c>
    </x:row>
    <x:row r="32">
      <x:c r="A32" s="33" t="str">
        <x:v>Notoscopelus kroyeri</x:v>
      </x:c>
      <x:c r="B32" s="59" t="n">
        <x:v>7.9</x:v>
      </x:c>
      <x:c r="C32" s="59" t="n">
        <x:v>5.1</x:v>
      </x:c>
      <x:c r="D32" s="59" t="n">
        <x:v>5.6</x:v>
      </x:c>
      <x:c r="E32" s="59" t="n">
        <x:v>7</x:v>
      </x:c>
      <x:c r="F32" s="59" t="n">
        <x:v>7</x:v>
      </x:c>
      <x:c r="G32" s="59" t="str">
        <x:v>Family</x:v>
      </x:c>
      <x:c r="H32" s="59" t="n">
        <x:f>ABS(C32-B32)</x:f>
        <x:v>2.8000000000000007</x:v>
      </x:c>
      <x:c r="I32" s="59" t="n">
        <x:f>ABS(D32-B32)</x:f>
        <x:v>2.3000000000000007</x:v>
      </x:c>
      <x:c r="J32" s="59" t="n">
        <x:f>ABS(E32-B32)</x:f>
        <x:v>0.9000000000000004</x:v>
      </x:c>
      <x:c r="K32" s="59" t="n">
        <x:f>ABS(F32-B32)</x:f>
        <x:v>0.9000000000000004</x:v>
      </x:c>
      <x:c r="L32" s="59" t="n">
        <x:f>K32-H32</x:f>
        <x:v>-1.9000000000000004</x:v>
      </x:c>
      <x:c r="M32" s="59" t="n">
        <x:f>K32-I32</x:f>
        <x:v>-1.4000000000000004</x:v>
      </x:c>
      <x:c r="N32" s="59" t="n">
        <x:f>K32-J32</x:f>
        <x:v>0</x:v>
      </x:c>
    </x:row>
    <x:row r="33">
      <x:c r="A33" s="33" t="str">
        <x:v>Lobianchia gemellari</x:v>
      </x:c>
      <x:c r="B33" s="59" t="n">
        <x:v>8.6</x:v>
      </x:c>
      <x:c r="C33" s="59" t="n">
        <x:v>5.1</x:v>
      </x:c>
      <x:c r="D33" s="59" t="n">
        <x:v>5.6</x:v>
      </x:c>
      <x:c r="E33" s="59" t="n">
        <x:v>7</x:v>
      </x:c>
      <x:c r="F33" s="59" t="n">
        <x:v>7</x:v>
      </x:c>
      <x:c r="G33" s="59" t="str">
        <x:v>Family</x:v>
      </x:c>
      <x:c r="H33" s="59" t="n">
        <x:f>ABS(C33-B33)</x:f>
        <x:v>3.5</x:v>
      </x:c>
      <x:c r="I33" s="59" t="n">
        <x:f>ABS(D33-B33)</x:f>
        <x:v>3</x:v>
      </x:c>
      <x:c r="J33" s="59" t="n">
        <x:f>ABS(E33-B33)</x:f>
        <x:v>1.5999999999999996</x:v>
      </x:c>
      <x:c r="K33" s="59" t="n">
        <x:f>ABS(F33-B33)</x:f>
        <x:v>1.5999999999999996</x:v>
      </x:c>
      <x:c r="L33" s="59" t="n">
        <x:f>K33-H33</x:f>
        <x:v>-1.9000000000000004</x:v>
      </x:c>
      <x:c r="M33" s="59" t="n">
        <x:f>K33-I33</x:f>
        <x:v>-1.4000000000000004</x:v>
      </x:c>
      <x:c r="N33" s="59" t="n">
        <x:f>K33-J33</x:f>
        <x:v>0</x:v>
      </x:c>
    </x:row>
    <x:row r="34">
      <x:c r="A34" s="33" t="str">
        <x:v>Coelorinchus coelorinchus</x:v>
      </x:c>
      <x:c r="B34" s="59" t="n">
        <x:v>5.1</x:v>
      </x:c>
      <x:c r="C34" s="59" t="n">
        <x:v>5.1</x:v>
      </x:c>
      <x:c r="D34" s="59" t="n">
        <x:v>5.64</x:v>
      </x:c>
      <x:c r="E34" s="59" t="n">
        <x:v>5.64</x:v>
      </x:c>
      <x:c r="F34" s="59" t="n">
        <x:v>5</x:v>
      </x:c>
      <x:c r="G34" s="59" t="str">
        <x:v>Ecological proxy</x:v>
      </x:c>
      <x:c r="H34" s="59" t="n">
        <x:f>ABS(C34-B34)</x:f>
        <x:v>0</x:v>
      </x:c>
      <x:c r="I34" s="59" t="n">
        <x:f>ABS(D34-B34)</x:f>
        <x:v>0.54</x:v>
      </x:c>
      <x:c r="J34" s="59" t="n">
        <x:f>ABS(E34-B34)</x:f>
        <x:v>0.54</x:v>
      </x:c>
      <x:c r="K34" s="59" t="n">
        <x:f>ABS(F34-B34)</x:f>
        <x:v>0.09999999999999964</x:v>
      </x:c>
      <x:c r="L34" s="59" t="n">
        <x:f>K34-H34</x:f>
        <x:v>0.09999999999999964</x:v>
      </x:c>
      <x:c r="M34" s="59" t="n">
        <x:f>K34-I34</x:f>
        <x:v>-0.4400000000000004</x:v>
      </x:c>
      <x:c r="N34" s="59" t="n">
        <x:f>K34-J34</x:f>
        <x:v>-0.4400000000000004</x:v>
      </x:c>
    </x:row>
    <x:row r="35">
      <x:c r="A35" s="33" t="str">
        <x:v>Merlangius merlangus</x:v>
      </x:c>
      <x:c r="B35" s="59" t="n">
        <x:v>3.9</x:v>
      </x:c>
      <x:c r="C35" s="59" t="n">
        <x:v>5.1</x:v>
      </x:c>
      <x:c r="D35" s="59" t="n">
        <x:v>5.64</x:v>
      </x:c>
      <x:c r="E35" s="59" t="n">
        <x:v>4.85</x:v>
      </x:c>
      <x:c r="F35" s="59" t="n">
        <x:v>4.85</x:v>
      </x:c>
      <x:c r="G35" s="59" t="str">
        <x:v>Family</x:v>
      </x:c>
      <x:c r="H35" s="59" t="n">
        <x:f>ABS(C35-B35)</x:f>
        <x:v>1.1999999999999997</x:v>
      </x:c>
      <x:c r="I35" s="59" t="n">
        <x:f>ABS(D35-B35)</x:f>
        <x:v>1.7399999999999998</x:v>
      </x:c>
      <x:c r="J35" s="59" t="n">
        <x:f>ABS(E35-B35)</x:f>
        <x:v>0.9499999999999997</x:v>
      </x:c>
      <x:c r="K35" s="59" t="n">
        <x:f>ABS(F35-B35)</x:f>
        <x:v>0.9499999999999997</x:v>
      </x:c>
      <x:c r="L35" s="59" t="n">
        <x:f>K35-H35</x:f>
        <x:v>-0.25</x:v>
      </x:c>
      <x:c r="M35" s="59" t="n">
        <x:f>K35-I35</x:f>
        <x:v>-0.79</x:v>
      </x:c>
      <x:c r="N35" s="59" t="n">
        <x:f>K35-J35</x:f>
        <x:v>0</x:v>
      </x:c>
    </x:row>
    <x:row r="36">
      <x:c r="A36" s="33" t="str">
        <x:v>Pollachius pollachius</x:v>
      </x:c>
      <x:c r="B36" s="59" t="n">
        <x:v>4.2</x:v>
      </x:c>
      <x:c r="C36" s="59" t="n">
        <x:v>5.1</x:v>
      </x:c>
      <x:c r="D36" s="59" t="n">
        <x:v>5.64</x:v>
      </x:c>
      <x:c r="E36" s="59" t="n">
        <x:v>4.85</x:v>
      </x:c>
      <x:c r="F36" s="59" t="n">
        <x:v>4.85</x:v>
      </x:c>
      <x:c r="G36" s="59" t="str">
        <x:v>Family</x:v>
      </x:c>
      <x:c r="H36" s="59" t="n">
        <x:f>ABS(C36-B36)</x:f>
        <x:v>0.8999999999999995</x:v>
      </x:c>
      <x:c r="I36" s="59" t="n">
        <x:f>ABS(D36-B36)</x:f>
        <x:v>1.4399999999999995</x:v>
      </x:c>
      <x:c r="J36" s="59" t="n">
        <x:f>ABS(E36-B36)</x:f>
        <x:v>0.6499999999999995</x:v>
      </x:c>
      <x:c r="K36" s="59" t="n">
        <x:f>ABS(F36-B36)</x:f>
        <x:v>0.6499999999999995</x:v>
      </x:c>
      <x:c r="L36" s="59" t="n">
        <x:f>K36-H36</x:f>
        <x:v>-0.25</x:v>
      </x:c>
      <x:c r="M36" s="59" t="n">
        <x:f>K36-I36</x:f>
        <x:v>-0.79</x:v>
      </x:c>
      <x:c r="N36" s="59" t="n">
        <x:f>K36-J36</x:f>
        <x:v>0</x:v>
      </x:c>
    </x:row>
    <x:row r="37">
      <x:c r="A37" s="33" t="str">
        <x:v>Micromesistius poutassou</x:v>
      </x:c>
      <x:c r="B37" s="59" t="n">
        <x:v>4.4</x:v>
      </x:c>
      <x:c r="C37" s="59" t="n">
        <x:v>5.1</x:v>
      </x:c>
      <x:c r="D37" s="59" t="n">
        <x:v>5.64</x:v>
      </x:c>
      <x:c r="E37" s="59" t="n">
        <x:v>4.85</x:v>
      </x:c>
      <x:c r="F37" s="59" t="n">
        <x:v>4.85</x:v>
      </x:c>
      <x:c r="G37" s="59" t="str">
        <x:v>Family</x:v>
      </x:c>
      <x:c r="H37" s="59" t="n">
        <x:f>ABS(C37-B37)</x:f>
        <x:v>0.6999999999999993</x:v>
      </x:c>
      <x:c r="I37" s="59" t="n">
        <x:f>ABS(D37-B37)</x:f>
        <x:v>1.2399999999999993</x:v>
      </x:c>
      <x:c r="J37" s="59" t="n">
        <x:f>ABS(E37-B37)</x:f>
        <x:v>0.4499999999999993</x:v>
      </x:c>
      <x:c r="K37" s="59" t="n">
        <x:f>ABS(F37-B37)</x:f>
        <x:v>0.4499999999999993</x:v>
      </x:c>
      <x:c r="L37" s="59" t="n">
        <x:f>K37-H37</x:f>
        <x:v>-0.25</x:v>
      </x:c>
      <x:c r="M37" s="59" t="n">
        <x:f>K37-I37</x:f>
        <x:v>-0.79</x:v>
      </x:c>
      <x:c r="N37" s="59" t="n">
        <x:f>K37-J37</x:f>
        <x:v>0</x:v>
      </x:c>
    </x:row>
    <x:row r="38">
      <x:c r="A38" s="33" t="str">
        <x:v>Trisopterus luscus</x:v>
      </x:c>
      <x:c r="B38" s="59" t="n">
        <x:v>4.7</x:v>
      </x:c>
      <x:c r="C38" s="59" t="n">
        <x:v>5.1</x:v>
      </x:c>
      <x:c r="D38" s="59" t="n">
        <x:v>5.64</x:v>
      </x:c>
      <x:c r="E38" s="59" t="n">
        <x:v>5.1</x:v>
      </x:c>
      <x:c r="F38" s="59" t="n">
        <x:v>5.1</x:v>
      </x:c>
      <x:c r="G38" s="59" t="str">
        <x:v>Genus</x:v>
      </x:c>
      <x:c r="H38" s="59" t="n">
        <x:f>ABS(C38-B38)</x:f>
        <x:v>0.39999999999999947</x:v>
      </x:c>
      <x:c r="I38" s="59" t="n">
        <x:f>ABS(D38-B38)</x:f>
        <x:v>0.9399999999999995</x:v>
      </x:c>
      <x:c r="J38" s="59" t="n">
        <x:f>ABS(E38-B38)</x:f>
        <x:v>0.39999999999999947</x:v>
      </x:c>
      <x:c r="K38" s="59" t="n">
        <x:f>ABS(F38-B38)</x:f>
        <x:v>0.39999999999999947</x:v>
      </x:c>
      <x:c r="L38" s="59" t="n">
        <x:f>K38-H38</x:f>
        <x:v>0</x:v>
      </x:c>
      <x:c r="M38" s="59" t="n">
        <x:f>K38-I38</x:f>
        <x:v>-0.54</x:v>
      </x:c>
      <x:c r="N38" s="59" t="n">
        <x:f>K38-J38</x:f>
        <x:v>0</x:v>
      </x:c>
    </x:row>
    <x:row r="39">
      <x:c r="A39" s="33" t="str">
        <x:v>Gadiculus argenteus</x:v>
      </x:c>
      <x:c r="B39" s="59" t="n">
        <x:v>5</x:v>
      </x:c>
      <x:c r="C39" s="59" t="n">
        <x:v>5.1</x:v>
      </x:c>
      <x:c r="D39" s="59" t="n">
        <x:v>5.64</x:v>
      </x:c>
      <x:c r="E39" s="59" t="n">
        <x:v>4.550000000000001</x:v>
      </x:c>
      <x:c r="F39" s="59" t="n">
        <x:v>4.550000000000001</x:v>
      </x:c>
      <x:c r="G39" s="59" t="str">
        <x:v>Family</x:v>
      </x:c>
      <x:c r="H39" s="59" t="n">
        <x:f>ABS(C39-B39)</x:f>
        <x:v>0.09999999999999964</x:v>
      </x:c>
      <x:c r="I39" s="59" t="n">
        <x:f>ABS(D39-B39)</x:f>
        <x:v>0.6399999999999997</x:v>
      </x:c>
      <x:c r="J39" s="59" t="n">
        <x:f>ABS(E39-B39)</x:f>
        <x:v>0.4499999999999993</x:v>
      </x:c>
      <x:c r="K39" s="59" t="n">
        <x:f>ABS(F39-B39)</x:f>
        <x:v>0.4499999999999993</x:v>
      </x:c>
      <x:c r="L39" s="59" t="n">
        <x:f>K39-H39</x:f>
        <x:v>0.34999999999999964</x:v>
      </x:c>
      <x:c r="M39" s="59" t="n">
        <x:f>K39-I39</x:f>
        <x:v>-0.1900000000000004</x:v>
      </x:c>
      <x:c r="N39" s="59" t="n">
        <x:f>K39-J39</x:f>
        <x:v>0</x:v>
      </x:c>
    </x:row>
    <x:row r="40">
      <x:c r="A40" s="33" t="str">
        <x:v>Trisopterus minutus</x:v>
      </x:c>
      <x:c r="B40" s="59" t="n">
        <x:v>5.1</x:v>
      </x:c>
      <x:c r="C40" s="59" t="n">
        <x:v>5.1</x:v>
      </x:c>
      <x:c r="D40" s="59" t="n">
        <x:v>5.64</x:v>
      </x:c>
      <x:c r="E40" s="59" t="n">
        <x:v>4.7</x:v>
      </x:c>
      <x:c r="F40" s="59" t="n">
        <x:v>4.7</x:v>
      </x:c>
      <x:c r="G40" s="59" t="str">
        <x:v>Genus</x:v>
      </x:c>
      <x:c r="H40" s="59" t="n">
        <x:f>ABS(C40-B40)</x:f>
        <x:v>0</x:v>
      </x:c>
      <x:c r="I40" s="59" t="n">
        <x:f>ABS(D40-B40)</x:f>
        <x:v>0.54</x:v>
      </x:c>
      <x:c r="J40" s="59" t="n">
        <x:f>ABS(E40-B40)</x:f>
        <x:v>0.39999999999999947</x:v>
      </x:c>
      <x:c r="K40" s="59" t="n">
        <x:f>ABS(F40-B40)</x:f>
        <x:v>0.39999999999999947</x:v>
      </x:c>
      <x:c r="L40" s="59" t="n">
        <x:f>K40-H40</x:f>
        <x:v>0.39999999999999947</x:v>
      </x:c>
      <x:c r="M40" s="59" t="n">
        <x:f>K40-I40</x:f>
        <x:v>-0.14000000000000057</x:v>
      </x:c>
      <x:c r="N40" s="59" t="n">
        <x:f>K40-J40</x:f>
        <x:v>0</x:v>
      </x:c>
    </x:row>
    <x:row r="41">
      <x:c r="A41" s="33" t="str">
        <x:v>Phycis blennoides</x:v>
      </x:c>
      <x:c r="B41" s="59" t="n">
        <x:v>5</x:v>
      </x:c>
      <x:c r="C41" s="59" t="n">
        <x:v>5.1</x:v>
      </x:c>
      <x:c r="D41" s="59" t="n">
        <x:v>5.64</x:v>
      </x:c>
      <x:c r="E41" s="59" t="n">
        <x:v>5.64</x:v>
      </x:c>
      <x:c r="F41" s="59" t="n">
        <x:v>4.92</x:v>
      </x:c>
      <x:c r="G41" s="59" t="str">
        <x:v>Ecological proxy</x:v>
      </x:c>
      <x:c r="H41" s="59" t="n">
        <x:f>ABS(C41-B41)</x:f>
        <x:v>0.09999999999999964</x:v>
      </x:c>
      <x:c r="I41" s="59" t="n">
        <x:f>ABS(D41-B41)</x:f>
        <x:v>0.6399999999999997</x:v>
      </x:c>
      <x:c r="J41" s="59" t="n">
        <x:f>ABS(E41-B41)</x:f>
        <x:v>0.6399999999999997</x:v>
      </x:c>
      <x:c r="K41" s="59" t="n">
        <x:f>ABS(F41-B41)</x:f>
        <x:v>0.08000000000000007</x:v>
      </x:c>
      <x:c r="L41" s="59" t="n">
        <x:f>K41-H41</x:f>
        <x:v>-0.019999999999999574</x:v>
      </x:c>
      <x:c r="M41" s="59" t="n">
        <x:f>K41-I41</x:f>
        <x:v>-0.5599999999999996</x:v>
      </x:c>
      <x:c r="N41" s="59" t="n">
        <x:f>K41-J41</x:f>
        <x:v>-0.5599999999999996</x:v>
      </x:c>
    </x:row>
    <x:row r="42">
      <x:c r="A42" s="33" t="str">
        <x:v>Merluccius merluccius</x:v>
      </x:c>
      <x:c r="B42" s="59" t="n">
        <x:v>3.7</x:v>
      </x:c>
      <x:c r="C42" s="59" t="n">
        <x:v>5.1</x:v>
      </x:c>
      <x:c r="D42" s="59" t="n">
        <x:v>5.64</x:v>
      </x:c>
      <x:c r="E42" s="59" t="n">
        <x:v>4.28</x:v>
      </x:c>
      <x:c r="F42" s="59" t="n">
        <x:v>4.28</x:v>
      </x:c>
      <x:c r="G42" s="59" t="str">
        <x:v>Genus</x:v>
      </x:c>
      <x:c r="H42" s="59" t="n">
        <x:f>ABS(C42-B42)</x:f>
        <x:v>1.3999999999999995</x:v>
      </x:c>
      <x:c r="I42" s="59" t="n">
        <x:f>ABS(D42-B42)</x:f>
        <x:v>1.9399999999999995</x:v>
      </x:c>
      <x:c r="J42" s="59" t="n">
        <x:f>ABS(E42-B42)</x:f>
        <x:v>0.5800000000000001</x:v>
      </x:c>
      <x:c r="K42" s="59" t="n">
        <x:f>ABS(F42-B42)</x:f>
        <x:v>0.5800000000000001</x:v>
      </x:c>
      <x:c r="L42" s="59" t="n">
        <x:f>K42-H42</x:f>
        <x:v>-0.8199999999999994</x:v>
      </x:c>
      <x:c r="M42" s="59" t="n">
        <x:f>K42-I42</x:f>
        <x:v>-1.3599999999999994</x:v>
      </x:c>
      <x:c r="N42" s="59" t="n">
        <x:f>K42-J42</x:f>
        <x:v>0</x:v>
      </x:c>
    </x:row>
    <x:row r="43">
      <x:c r="A43" s="33" t="str">
        <x:v>Atherina presbyter</x:v>
      </x:c>
      <x:c r="B43" s="59" t="n">
        <x:v>7.3</x:v>
      </x:c>
      <x:c r="C43" s="59" t="n">
        <x:v>5.1</x:v>
      </x:c>
      <x:c r="D43" s="59" t="n">
        <x:v>5.6</x:v>
      </x:c>
      <x:c r="E43" s="59" t="n">
        <x:v>4.23</x:v>
      </x:c>
      <x:c r="F43" s="59" t="n">
        <x:v>4.23</x:v>
      </x:c>
      <x:c r="G43" s="59" t="str">
        <x:v>Family</x:v>
      </x:c>
      <x:c r="H43" s="59" t="n">
        <x:f>ABS(C43-B43)</x:f>
        <x:v>2.2</x:v>
      </x:c>
      <x:c r="I43" s="59" t="n">
        <x:f>ABS(D43-B43)</x:f>
        <x:v>1.7000000000000002</x:v>
      </x:c>
      <x:c r="J43" s="59" t="n">
        <x:f>ABS(E43-B43)</x:f>
        <x:v>3.0699999999999994</x:v>
      </x:c>
      <x:c r="K43" s="59" t="n">
        <x:f>ABS(F43-B43)</x:f>
        <x:v>3.0699999999999994</x:v>
      </x:c>
      <x:c r="L43" s="59" t="n">
        <x:f>K43-H43</x:f>
        <x:v>0.8699999999999992</x:v>
      </x:c>
      <x:c r="M43" s="59" t="n">
        <x:f>K43-I43</x:f>
        <x:v>1.3699999999999992</x:v>
      </x:c>
      <x:c r="N43" s="59" t="n">
        <x:f>K43-J43</x:f>
        <x:v>0</x:v>
      </x:c>
    </x:row>
    <x:row r="44">
      <x:c r="A44" s="33" t="str">
        <x:v>Belone belone</x:v>
      </x:c>
      <x:c r="B44" s="59" t="n">
        <x:v>6.2</x:v>
      </x:c>
      <x:c r="C44" s="59" t="n">
        <x:v>5.1</x:v>
      </x:c>
      <x:c r="D44" s="59" t="n">
        <x:v>5.6</x:v>
      </x:c>
      <x:c r="E44" s="59" t="n">
        <x:v>5.6</x:v>
      </x:c>
      <x:c r="F44" s="59" t="n">
        <x:v>4.92</x:v>
      </x:c>
      <x:c r="G44" s="59" t="str">
        <x:v>Ecological proxy</x:v>
      </x:c>
      <x:c r="H44" s="59" t="n">
        <x:f>ABS(C44-B44)</x:f>
        <x:v>1.1000000000000005</x:v>
      </x:c>
      <x:c r="I44" s="59" t="n">
        <x:f>ABS(D44-B44)</x:f>
        <x:v>0.6000000000000005</x:v>
      </x:c>
      <x:c r="J44" s="59" t="n">
        <x:f>ABS(E44-B44)</x:f>
        <x:v>0.6000000000000005</x:v>
      </x:c>
      <x:c r="K44" s="59" t="n">
        <x:f>ABS(F44-B44)</x:f>
        <x:v>1.2800000000000002</x:v>
      </x:c>
      <x:c r="L44" s="59" t="n">
        <x:f>K44-H44</x:f>
        <x:v>0.17999999999999972</x:v>
      </x:c>
      <x:c r="M44" s="59" t="n">
        <x:f>K44-I44</x:f>
        <x:v>0.6799999999999997</x:v>
      </x:c>
      <x:c r="N44" s="59" t="n">
        <x:f>K44-J44</x:f>
        <x:v>0.6799999999999997</x:v>
      </x:c>
    </x:row>
    <x:row r="45">
      <x:c r="A45" s="33" t="str">
        <x:v>Scomberesox saurus</x:v>
      </x:c>
      <x:c r="B45" s="59" t="n">
        <x:v>5.8</x:v>
      </x:c>
      <x:c r="C45" s="59" t="n">
        <x:v>5.1</x:v>
      </x:c>
      <x:c r="D45" s="59" t="n">
        <x:v>5.6</x:v>
      </x:c>
      <x:c r="E45" s="59" t="n">
        <x:v>7</x:v>
      </x:c>
      <x:c r="F45" s="59" t="n">
        <x:v>7</x:v>
      </x:c>
      <x:c r="G45" s="59" t="str">
        <x:v>Family</x:v>
      </x:c>
      <x:c r="H45" s="59" t="n">
        <x:f>ABS(C45-B45)</x:f>
        <x:v>0.7000000000000002</x:v>
      </x:c>
      <x:c r="I45" s="59" t="n">
        <x:f>ABS(D45-B45)</x:f>
        <x:v>0.20000000000000018</x:v>
      </x:c>
      <x:c r="J45" s="59" t="n">
        <x:f>ABS(E45-B45)</x:f>
        <x:v>1.2000000000000002</x:v>
      </x:c>
      <x:c r="K45" s="59" t="n">
        <x:f>ABS(F45-B45)</x:f>
        <x:v>1.2000000000000002</x:v>
      </x:c>
      <x:c r="L45" s="59" t="n">
        <x:f>K45-H45</x:f>
        <x:v>0.5</x:v>
      </x:c>
      <x:c r="M45" s="59" t="n">
        <x:f>K45-I45</x:f>
        <x:v>1</x:v>
      </x:c>
      <x:c r="N45" s="59" t="n">
        <x:f>K45-J45</x:f>
        <x:v>0</x:v>
      </x:c>
    </x:row>
    <x:row r="46">
      <x:c r="A46" s="33" t="str">
        <x:v>Hoplostethus mediterraneus</x:v>
      </x:c>
      <x:c r="B46" s="59" t="n">
        <x:v>4.7</x:v>
      </x:c>
      <x:c r="C46" s="59" t="n">
        <x:v>5.1</x:v>
      </x:c>
      <x:c r="D46" s="59" t="n">
        <x:v>5.64</x:v>
      </x:c>
      <x:c r="E46" s="59" t="n">
        <x:v>5.64</x:v>
      </x:c>
      <x:c r="F46" s="59" t="n">
        <x:v>4.92</x:v>
      </x:c>
      <x:c r="G46" s="59" t="str">
        <x:v>Ecological proxy</x:v>
      </x:c>
      <x:c r="H46" s="59" t="n">
        <x:f>ABS(C46-B46)</x:f>
        <x:v>0.39999999999999947</x:v>
      </x:c>
      <x:c r="I46" s="59" t="n">
        <x:f>ABS(D46-B46)</x:f>
        <x:v>0.9399999999999995</x:v>
      </x:c>
      <x:c r="J46" s="59" t="n">
        <x:f>ABS(E46-B46)</x:f>
        <x:v>0.9399999999999995</x:v>
      </x:c>
      <x:c r="K46" s="59" t="n">
        <x:f>ABS(F46-B46)</x:f>
        <x:v>0.21999999999999975</x:v>
      </x:c>
      <x:c r="L46" s="59" t="n">
        <x:f>K46-H46</x:f>
        <x:v>-0.17999999999999972</x:v>
      </x:c>
      <x:c r="M46" s="59" t="n">
        <x:f>K46-I46</x:f>
        <x:v>-0.7199999999999998</x:v>
      </x:c>
      <x:c r="N46" s="59" t="n">
        <x:f>K46-J46</x:f>
        <x:v>-0.7199999999999998</x:v>
      </x:c>
    </x:row>
    <x:row r="47">
      <x:c r="A47" s="33" t="str">
        <x:v>Capros aper</x:v>
      </x:c>
      <x:c r="B47" s="59" t="n">
        <x:v>6.2</x:v>
      </x:c>
      <x:c r="C47" s="59" t="n">
        <x:v>5.1</x:v>
      </x:c>
      <x:c r="D47" s="59" t="n">
        <x:v>5.6</x:v>
      </x:c>
      <x:c r="E47" s="59" t="n">
        <x:v>5.6</x:v>
      </x:c>
      <x:c r="F47" s="59" t="n">
        <x:v>4.92</x:v>
      </x:c>
      <x:c r="G47" s="59" t="str">
        <x:v>Ecological proxy</x:v>
      </x:c>
      <x:c r="H47" s="59" t="n">
        <x:f>ABS(C47-B47)</x:f>
        <x:v>1.1000000000000005</x:v>
      </x:c>
      <x:c r="I47" s="59" t="n">
        <x:f>ABS(D47-B47)</x:f>
        <x:v>0.6000000000000005</x:v>
      </x:c>
      <x:c r="J47" s="59" t="n">
        <x:f>ABS(E47-B47)</x:f>
        <x:v>0.6000000000000005</x:v>
      </x:c>
      <x:c r="K47" s="59" t="n">
        <x:f>ABS(F47-B47)</x:f>
        <x:v>1.2800000000000002</x:v>
      </x:c>
      <x:c r="L47" s="59" t="n">
        <x:f>K47-H47</x:f>
        <x:v>0.17999999999999972</x:v>
      </x:c>
      <x:c r="M47" s="59" t="n">
        <x:f>K47-I47</x:f>
        <x:v>0.6799999999999997</x:v>
      </x:c>
      <x:c r="N47" s="59" t="n">
        <x:f>K47-J47</x:f>
        <x:v>0.6799999999999997</x:v>
      </x:c>
    </x:row>
    <x:row r="48">
      <x:c r="A48" s="33" t="str">
        <x:v>Entelurus aequoreus</x:v>
      </x:c>
      <x:c r="B48" s="59" t="n">
        <x:v>4.7</x:v>
      </x:c>
      <x:c r="C48" s="59" t="n">
        <x:v>5.1</x:v>
      </x:c>
      <x:c r="D48" s="59" t="n">
        <x:v>5.64</x:v>
      </x:c>
      <x:c r="E48" s="59" t="n">
        <x:v>5.64</x:v>
      </x:c>
      <x:c r="F48" s="59" t="n">
        <x:v>4.92</x:v>
      </x:c>
      <x:c r="G48" s="59" t="str">
        <x:v>Ecological proxy</x:v>
      </x:c>
      <x:c r="H48" s="59" t="n">
        <x:f>ABS(C48-B48)</x:f>
        <x:v>0.39999999999999947</x:v>
      </x:c>
      <x:c r="I48" s="59" t="n">
        <x:f>ABS(D48-B48)</x:f>
        <x:v>0.9399999999999995</x:v>
      </x:c>
      <x:c r="J48" s="59" t="n">
        <x:f>ABS(E48-B48)</x:f>
        <x:v>0.9399999999999995</x:v>
      </x:c>
      <x:c r="K48" s="59" t="n">
        <x:f>ABS(F48-B48)</x:f>
        <x:v>0.21999999999999975</x:v>
      </x:c>
      <x:c r="L48" s="59" t="n">
        <x:f>K48-H48</x:f>
        <x:v>-0.17999999999999972</x:v>
      </x:c>
      <x:c r="M48" s="59" t="n">
        <x:f>K48-I48</x:f>
        <x:v>-0.7199999999999998</x:v>
      </x:c>
      <x:c r="N48" s="59" t="n">
        <x:f>K48-J48</x:f>
        <x:v>-0.7199999999999998</x:v>
      </x:c>
    </x:row>
    <x:row r="49">
      <x:c r="A49" s="33" t="str">
        <x:v>Helicolenus dactylopterus</x:v>
      </x:c>
      <x:c r="B49" s="59" t="n">
        <x:v>9.2</x:v>
      </x:c>
      <x:c r="C49" s="59" t="n">
        <x:v>5.1</x:v>
      </x:c>
      <x:c r="D49" s="59" t="n">
        <x:v>5.6</x:v>
      </x:c>
      <x:c r="E49" s="59" t="n">
        <x:v>2.97</x:v>
      </x:c>
      <x:c r="F49" s="59" t="n">
        <x:v>2.97</x:v>
      </x:c>
      <x:c r="G49" s="59" t="str">
        <x:v>Family</x:v>
      </x:c>
      <x:c r="H49" s="59" t="n">
        <x:f>ABS(C49-B49)</x:f>
        <x:v>4.1</x:v>
      </x:c>
      <x:c r="I49" s="59" t="n">
        <x:f>ABS(D49-B49)</x:f>
        <x:v>3.5999999999999996</x:v>
      </x:c>
      <x:c r="J49" s="59" t="n">
        <x:f>ABS(E49-B49)</x:f>
        <x:v>6.229999999999999</x:v>
      </x:c>
      <x:c r="K49" s="59" t="n">
        <x:f>ABS(F49-B49)</x:f>
        <x:v>6.229999999999999</x:v>
      </x:c>
      <x:c r="L49" s="59" t="n">
        <x:f>K49-H49</x:f>
        <x:v>2.129999999999999</x:v>
      </x:c>
      <x:c r="M49" s="59" t="n">
        <x:f>K49-I49</x:f>
        <x:v>2.629999999999999</x:v>
      </x:c>
      <x:c r="N49" s="59" t="n">
        <x:f>K49-J49</x:f>
        <x:v>0</x:v>
      </x:c>
    </x:row>
    <x:row r="50">
      <x:c r="A50" s="33" t="str">
        <x:v>Scorpaena loppei</x:v>
      </x:c>
      <x:c r="B50" s="59" t="n">
        <x:v>5.1</x:v>
      </x:c>
      <x:c r="C50" s="59" t="n">
        <x:v>5.1</x:v>
      </x:c>
      <x:c r="D50" s="59" t="n">
        <x:v>5.64</x:v>
      </x:c>
      <x:c r="E50" s="59" t="n">
        <x:v>5.64</x:v>
      </x:c>
      <x:c r="F50" s="59" t="n">
        <x:v>4.92</x:v>
      </x:c>
      <x:c r="G50" s="59" t="str">
        <x:v>Ecological proxy</x:v>
      </x:c>
      <x:c r="H50" s="59" t="n">
        <x:f>ABS(C50-B50)</x:f>
        <x:v>0</x:v>
      </x:c>
      <x:c r="I50" s="59" t="n">
        <x:f>ABS(D50-B50)</x:f>
        <x:v>0.54</x:v>
      </x:c>
      <x:c r="J50" s="59" t="n">
        <x:f>ABS(E50-B50)</x:f>
        <x:v>0.54</x:v>
      </x:c>
      <x:c r="K50" s="59" t="n">
        <x:f>ABS(F50-B50)</x:f>
        <x:v>0.17999999999999972</x:v>
      </x:c>
      <x:c r="L50" s="59" t="n">
        <x:f>K50-H50</x:f>
        <x:v>0.17999999999999972</x:v>
      </x:c>
      <x:c r="M50" s="59" t="n">
        <x:f>K50-I50</x:f>
        <x:v>-0.3600000000000003</x:v>
      </x:c>
      <x:c r="N50" s="59" t="n">
        <x:f>K50-J50</x:f>
        <x:v>-0.3600000000000003</x:v>
      </x:c>
    </x:row>
    <x:row r="51">
      <x:c r="A51" s="33" t="str">
        <x:v>Chelidonichthys cuculus</x:v>
      </x:c>
      <x:c r="B51" s="59" t="n">
        <x:v>8.2</x:v>
      </x:c>
      <x:c r="C51" s="59" t="n">
        <x:v>5.1</x:v>
      </x:c>
      <x:c r="D51" s="59" t="n">
        <x:v>5.6</x:v>
      </x:c>
      <x:c r="E51" s="59" t="n">
        <x:v>5.6</x:v>
      </x:c>
      <x:c r="F51" s="59" t="n">
        <x:v>4.92</x:v>
      </x:c>
      <x:c r="G51" s="59" t="str">
        <x:v>Ecological proxy</x:v>
      </x:c>
      <x:c r="H51" s="59" t="n">
        <x:f>ABS(C51-B51)</x:f>
        <x:v>3.0999999999999996</x:v>
      </x:c>
      <x:c r="I51" s="59" t="n">
        <x:f>ABS(D51-B51)</x:f>
        <x:v>2.5999999999999996</x:v>
      </x:c>
      <x:c r="J51" s="59" t="n">
        <x:f>ABS(E51-B51)</x:f>
        <x:v>2.5999999999999996</x:v>
      </x:c>
      <x:c r="K51" s="59" t="n">
        <x:f>ABS(F51-B51)</x:f>
        <x:v>3.2799999999999994</x:v>
      </x:c>
      <x:c r="L51" s="59" t="n">
        <x:f>K51-H51</x:f>
        <x:v>0.17999999999999972</x:v>
      </x:c>
      <x:c r="M51" s="59" t="n">
        <x:f>K51-I51</x:f>
        <x:v>0.6799999999999997</x:v>
      </x:c>
      <x:c r="N51" s="59" t="n">
        <x:f>K51-J51</x:f>
        <x:v>0.6799999999999997</x:v>
      </x:c>
    </x:row>
    <x:row r="52">
      <x:c r="A52" s="33" t="str">
        <x:v>Dicentrarchus labrax</x:v>
      </x:c>
      <x:c r="B52" s="59" t="n">
        <x:v>6</x:v>
      </x:c>
      <x:c r="C52" s="59" t="n">
        <x:v>5.1</x:v>
      </x:c>
      <x:c r="D52" s="59" t="n">
        <x:v>5.6</x:v>
      </x:c>
      <x:c r="E52" s="59" t="n">
        <x:v>5.6</x:v>
      </x:c>
      <x:c r="F52" s="59" t="n">
        <x:v>4.92</x:v>
      </x:c>
      <x:c r="G52" s="59" t="str">
        <x:v>Ecological proxy</x:v>
      </x:c>
      <x:c r="H52" s="59" t="n">
        <x:f>ABS(C52-B52)</x:f>
        <x:v>0.9000000000000004</x:v>
      </x:c>
      <x:c r="I52" s="59" t="n">
        <x:f>ABS(D52-B52)</x:f>
        <x:v>0.40000000000000036</x:v>
      </x:c>
      <x:c r="J52" s="59" t="n">
        <x:f>ABS(E52-B52)</x:f>
        <x:v>0.40000000000000036</x:v>
      </x:c>
      <x:c r="K52" s="59" t="n">
        <x:f>ABS(F52-B52)</x:f>
        <x:v>1.08</x:v>
      </x:c>
      <x:c r="L52" s="59" t="n">
        <x:f>K52-H52</x:f>
        <x:v>0.17999999999999972</x:v>
      </x:c>
      <x:c r="M52" s="59" t="n">
        <x:f>K52-I52</x:f>
        <x:v>0.6799999999999997</x:v>
      </x:c>
      <x:c r="N52" s="59" t="n">
        <x:f>K52-J52</x:f>
        <x:v>0.6799999999999997</x:v>
      </x:c>
    </x:row>
    <x:row r="53">
      <x:c r="A53" s="33" t="str">
        <x:v>Trachurus trachurus</x:v>
      </x:c>
      <x:c r="B53" s="59" t="n">
        <x:v>6</x:v>
      </x:c>
      <x:c r="C53" s="59" t="n">
        <x:v>5.1</x:v>
      </x:c>
      <x:c r="D53" s="59" t="n">
        <x:v>5.6</x:v>
      </x:c>
      <x:c r="E53" s="59" t="n">
        <x:v>5.78</x:v>
      </x:c>
      <x:c r="F53" s="59" t="n">
        <x:v>5.78</x:v>
      </x:c>
      <x:c r="G53" s="59" t="str">
        <x:v>Genus</x:v>
      </x:c>
      <x:c r="H53" s="59" t="n">
        <x:f>ABS(C53-B53)</x:f>
        <x:v>0.9000000000000004</x:v>
      </x:c>
      <x:c r="I53" s="59" t="n">
        <x:f>ABS(D53-B53)</x:f>
        <x:v>0.40000000000000036</x:v>
      </x:c>
      <x:c r="J53" s="59" t="n">
        <x:f>ABS(E53-B53)</x:f>
        <x:v>0.21999999999999975</x:v>
      </x:c>
      <x:c r="K53" s="59" t="n">
        <x:f>ABS(F53-B53)</x:f>
        <x:v>0.21999999999999975</x:v>
      </x:c>
      <x:c r="L53" s="59" t="n">
        <x:f>K53-H53</x:f>
        <x:v>-0.6800000000000006</x:v>
      </x:c>
      <x:c r="M53" s="59" t="n">
        <x:f>K53-I53</x:f>
        <x:v>-0.1800000000000006</x:v>
      </x:c>
      <x:c r="N53" s="59" t="n">
        <x:f>K53-J53</x:f>
        <x:v>0</x:v>
      </x:c>
    </x:row>
    <x:row r="54">
      <x:c r="A54" s="33" t="str">
        <x:v>Spondyliosoma cantharus</x:v>
      </x:c>
      <x:c r="B54" s="59" t="n">
        <x:v>6.9</x:v>
      </x:c>
      <x:c r="C54" s="59" t="n">
        <x:v>5.1</x:v>
      </x:c>
      <x:c r="D54" s="59" t="n">
        <x:v>5.6</x:v>
      </x:c>
      <x:c r="E54" s="59" t="n">
        <x:v>6.984999999999999</x:v>
      </x:c>
      <x:c r="F54" s="59" t="n">
        <x:v>6.984999999999999</x:v>
      </x:c>
      <x:c r="G54" s="59" t="str">
        <x:v>Family</x:v>
      </x:c>
      <x:c r="H54" s="59" t="n">
        <x:f>ABS(C54-B54)</x:f>
        <x:v>1.8000000000000007</x:v>
      </x:c>
      <x:c r="I54" s="59" t="n">
        <x:f>ABS(D54-B54)</x:f>
        <x:v>1.3000000000000007</x:v>
      </x:c>
      <x:c r="J54" s="59" t="n">
        <x:f>ABS(E54-B54)</x:f>
        <x:v>0.08499999999999908</x:v>
      </x:c>
      <x:c r="K54" s="59" t="n">
        <x:f>ABS(F54-B54)</x:f>
        <x:v>0.08499999999999908</x:v>
      </x:c>
      <x:c r="L54" s="59" t="n">
        <x:f>K54-H54</x:f>
        <x:v>-1.7150000000000016</x:v>
      </x:c>
      <x:c r="M54" s="59" t="n">
        <x:f>K54-I54</x:f>
        <x:v>-1.2150000000000016</x:v>
      </x:c>
      <x:c r="N54" s="59" t="n">
        <x:f>K54-J54</x:f>
        <x:v>0</x:v>
      </x:c>
    </x:row>
    <x:row r="55">
      <x:c r="A55" s="33" t="str">
        <x:v>Boops boops</x:v>
      </x:c>
      <x:c r="B55" s="59" t="n">
        <x:v>8</x:v>
      </x:c>
      <x:c r="C55" s="59" t="n">
        <x:v>5.1</x:v>
      </x:c>
      <x:c r="D55" s="59" t="n">
        <x:v>5.6</x:v>
      </x:c>
      <x:c r="E55" s="59" t="n">
        <x:v>6.4350000000000005</x:v>
      </x:c>
      <x:c r="F55" s="59" t="n">
        <x:v>6.4350000000000005</x:v>
      </x:c>
      <x:c r="G55" s="59" t="str">
        <x:v>Family</x:v>
      </x:c>
      <x:c r="H55" s="59" t="n">
        <x:f>ABS(C55-B55)</x:f>
        <x:v>2.9000000000000004</x:v>
      </x:c>
      <x:c r="I55" s="59" t="n">
        <x:f>ABS(D55-B55)</x:f>
        <x:v>2.4000000000000004</x:v>
      </x:c>
      <x:c r="J55" s="59" t="n">
        <x:f>ABS(E55-B55)</x:f>
        <x:v>1.5649999999999995</x:v>
      </x:c>
      <x:c r="K55" s="59" t="n">
        <x:f>ABS(F55-B55)</x:f>
        <x:v>1.5649999999999995</x:v>
      </x:c>
      <x:c r="L55" s="59" t="n">
        <x:f>K55-H55</x:f>
        <x:v>-1.3350000000000009</x:v>
      </x:c>
      <x:c r="M55" s="59" t="n">
        <x:f>K55-I55</x:f>
        <x:v>-0.8350000000000009</x:v>
      </x:c>
      <x:c r="N55" s="59" t="n">
        <x:f>K55-J55</x:f>
        <x:v>0</x:v>
      </x:c>
    </x:row>
    <x:row r="56">
      <x:c r="A56" s="33" t="str">
        <x:v>Pagellus acarne</x:v>
      </x:c>
      <x:c r="B56" s="59" t="n">
        <x:v>9.4</x:v>
      </x:c>
      <x:c r="C56" s="59" t="n">
        <x:v>5.1</x:v>
      </x:c>
      <x:c r="D56" s="59" t="n">
        <x:v>5.6</x:v>
      </x:c>
      <x:c r="E56" s="59" t="n">
        <x:v>6.4350000000000005</x:v>
      </x:c>
      <x:c r="F56" s="59" t="n">
        <x:v>6.4350000000000005</x:v>
      </x:c>
      <x:c r="G56" s="59" t="str">
        <x:v>Family</x:v>
      </x:c>
      <x:c r="H56" s="59" t="n">
        <x:f>ABS(C56-B56)</x:f>
        <x:v>4.300000000000001</x:v>
      </x:c>
      <x:c r="I56" s="59" t="n">
        <x:f>ABS(D56-B56)</x:f>
        <x:v>3.8000000000000007</x:v>
      </x:c>
      <x:c r="J56" s="59" t="n">
        <x:f>ABS(E56-B56)</x:f>
        <x:v>2.965</x:v>
      </x:c>
      <x:c r="K56" s="59" t="n">
        <x:f>ABS(F56-B56)</x:f>
        <x:v>2.965</x:v>
      </x:c>
      <x:c r="L56" s="59" t="n">
        <x:f>K56-H56</x:f>
        <x:v>-1.3350000000000009</x:v>
      </x:c>
      <x:c r="M56" s="59" t="n">
        <x:f>K56-I56</x:f>
        <x:v>-0.8350000000000009</x:v>
      </x:c>
      <x:c r="N56" s="59" t="n">
        <x:f>K56-J56</x:f>
        <x:v>0</x:v>
      </x:c>
    </x:row>
    <x:row r="57">
      <x:c r="A57" s="33" t="str">
        <x:v>Mullus surmuletus</x:v>
      </x:c>
      <x:c r="B57" s="59" t="n">
        <x:v>6.4</x:v>
      </x:c>
      <x:c r="C57" s="59" t="n">
        <x:v>5.1</x:v>
      </x:c>
      <x:c r="D57" s="59" t="n">
        <x:v>5.6</x:v>
      </x:c>
      <x:c r="E57" s="59" t="n">
        <x:v>5.6</x:v>
      </x:c>
      <x:c r="F57" s="59" t="n">
        <x:v>4.92</x:v>
      </x:c>
      <x:c r="G57" s="59" t="str">
        <x:v>Ecological proxy</x:v>
      </x:c>
      <x:c r="H57" s="59" t="n">
        <x:f>ABS(C57-B57)</x:f>
        <x:v>1.3000000000000007</x:v>
      </x:c>
      <x:c r="I57" s="59" t="n">
        <x:f>ABS(D57-B57)</x:f>
        <x:v>0.8000000000000007</x:v>
      </x:c>
      <x:c r="J57" s="59" t="n">
        <x:f>ABS(E57-B57)</x:f>
        <x:v>0.8000000000000007</x:v>
      </x:c>
      <x:c r="K57" s="59" t="n">
        <x:f>ABS(F57-B57)</x:f>
        <x:v>1.4800000000000004</x:v>
      </x:c>
      <x:c r="L57" s="59" t="n">
        <x:f>K57-H57</x:f>
        <x:v>0.17999999999999972</x:v>
      </x:c>
      <x:c r="M57" s="59" t="n">
        <x:f>K57-I57</x:f>
        <x:v>0.6799999999999997</x:v>
      </x:c>
      <x:c r="N57" s="59" t="n">
        <x:f>K57-J57</x:f>
        <x:v>0.6799999999999997</x:v>
      </x:c>
    </x:row>
    <x:row r="58">
      <x:c r="A58" s="33" t="str">
        <x:v>Cepola macrophthalma</x:v>
      </x:c>
      <x:c r="B58" s="59" t="n">
        <x:v>3.9</x:v>
      </x:c>
      <x:c r="C58" s="59" t="n">
        <x:v>5.1</x:v>
      </x:c>
      <x:c r="D58" s="59" t="n">
        <x:v>5.64</x:v>
      </x:c>
      <x:c r="E58" s="59" t="n">
        <x:v>5.64</x:v>
      </x:c>
      <x:c r="F58" s="59" t="n">
        <x:v>4.92</x:v>
      </x:c>
      <x:c r="G58" s="59" t="str">
        <x:v>Ecological proxy</x:v>
      </x:c>
      <x:c r="H58" s="59" t="n">
        <x:f>ABS(C58-B58)</x:f>
        <x:v>1.1999999999999997</x:v>
      </x:c>
      <x:c r="I58" s="59" t="n">
        <x:f>ABS(D58-B58)</x:f>
        <x:v>1.7399999999999998</x:v>
      </x:c>
      <x:c r="J58" s="59" t="n">
        <x:f>ABS(E58-B58)</x:f>
        <x:v>1.7399999999999998</x:v>
      </x:c>
      <x:c r="K58" s="59" t="n">
        <x:f>ABS(F58-B58)</x:f>
        <x:v>1.02</x:v>
      </x:c>
      <x:c r="L58" s="59" t="n">
        <x:f>K58-H58</x:f>
        <x:v>-0.17999999999999972</x:v>
      </x:c>
      <x:c r="M58" s="59" t="n">
        <x:f>K58-I58</x:f>
        <x:v>-0.7199999999999998</x:v>
      </x:c>
      <x:c r="N58" s="59" t="n">
        <x:f>K58-J58</x:f>
        <x:v>-0.7199999999999998</x:v>
      </x:c>
    </x:row>
    <x:row r="59">
      <x:c r="A59" s="33" t="str">
        <x:v>Liza ramada</x:v>
      </x:c>
      <x:c r="B59" s="59" t="n">
        <x:v>6.5</x:v>
      </x:c>
      <x:c r="C59" s="59" t="n">
        <x:v>5.1</x:v>
      </x:c>
      <x:c r="D59" s="59" t="n">
        <x:v>5.6</x:v>
      </x:c>
      <x:c r="E59" s="59" t="n">
        <x:v>5.39</x:v>
      </x:c>
      <x:c r="F59" s="59" t="n">
        <x:v>5.39</x:v>
      </x:c>
      <x:c r="G59" s="59" t="str">
        <x:v>Genus</x:v>
      </x:c>
      <x:c r="H59" s="59" t="n">
        <x:f>ABS(C59-B59)</x:f>
        <x:v>1.4000000000000004</x:v>
      </x:c>
      <x:c r="I59" s="59" t="n">
        <x:f>ABS(D59-B59)</x:f>
        <x:v>0.9000000000000004</x:v>
      </x:c>
      <x:c r="J59" s="59" t="n">
        <x:f>ABS(E59-B59)</x:f>
        <x:v>1.1100000000000003</x:v>
      </x:c>
      <x:c r="K59" s="59" t="n">
        <x:f>ABS(F59-B59)</x:f>
        <x:v>1.1100000000000003</x:v>
      </x:c>
      <x:c r="L59" s="59" t="n">
        <x:f>K59-H59</x:f>
        <x:v>-0.29000000000000004</x:v>
      </x:c>
      <x:c r="M59" s="59" t="n">
        <x:f>K59-I59</x:f>
        <x:v>0.20999999999999996</x:v>
      </x:c>
      <x:c r="N59" s="59" t="n">
        <x:f>K59-J59</x:f>
        <x:v>0</x:v>
      </x:c>
    </x:row>
    <x:row r="60">
      <x:c r="A60" s="33" t="str">
        <x:v>Labrus bergylta</x:v>
      </x:c>
      <x:c r="B60" s="59" t="n">
        <x:v>5.4</x:v>
      </x:c>
      <x:c r="C60" s="59" t="n">
        <x:v>5.1</x:v>
      </x:c>
      <x:c r="D60" s="59" t="n">
        <x:v>5.64</x:v>
      </x:c>
      <x:c r="E60" s="59" t="n">
        <x:v>5.64</x:v>
      </x:c>
      <x:c r="F60" s="59" t="n">
        <x:v>4.92</x:v>
      </x:c>
      <x:c r="G60" s="59" t="str">
        <x:v>Ecological proxy</x:v>
      </x:c>
      <x:c r="H60" s="59" t="n">
        <x:f>ABS(C60-B60)</x:f>
        <x:v>0.3000000000000007</x:v>
      </x:c>
      <x:c r="I60" s="59" t="n">
        <x:f>ABS(D60-B60)</x:f>
        <x:v>0.23999999999999932</x:v>
      </x:c>
      <x:c r="J60" s="59" t="n">
        <x:f>ABS(E60-B60)</x:f>
        <x:v>0.23999999999999932</x:v>
      </x:c>
      <x:c r="K60" s="59" t="n">
        <x:f>ABS(F60-B60)</x:f>
        <x:v>0.4800000000000004</x:v>
      </x:c>
      <x:c r="L60" s="59" t="n">
        <x:f>K60-H60</x:f>
        <x:v>0.17999999999999972</x:v>
      </x:c>
      <x:c r="M60" s="59" t="n">
        <x:f>K60-I60</x:f>
        <x:v>0.2400000000000011</x:v>
      </x:c>
      <x:c r="N60" s="59" t="n">
        <x:f>K60-J60</x:f>
        <x:v>0.2400000000000011</x:v>
      </x:c>
    </x:row>
    <x:row r="61">
      <x:c r="A61" s="33" t="str">
        <x:v>Hyperoplus lanceolatus</x:v>
      </x:c>
      <x:c r="B61" s="59" t="n">
        <x:v>4.8</x:v>
      </x:c>
      <x:c r="C61" s="59" t="n">
        <x:v>5.1</x:v>
      </x:c>
      <x:c r="D61" s="59" t="n">
        <x:v>5.64</x:v>
      </x:c>
      <x:c r="E61" s="59" t="n">
        <x:v>5.8</x:v>
      </x:c>
      <x:c r="F61" s="59" t="n">
        <x:v>5.8</x:v>
      </x:c>
      <x:c r="G61" s="59" t="str">
        <x:v>Family</x:v>
      </x:c>
      <x:c r="H61" s="59" t="n">
        <x:f>ABS(C61-B61)</x:f>
        <x:v>0.2999999999999998</x:v>
      </x:c>
      <x:c r="I61" s="59" t="n">
        <x:f>ABS(D61-B61)</x:f>
        <x:v>0.8399999999999999</x:v>
      </x:c>
      <x:c r="J61" s="59" t="n">
        <x:f>ABS(E61-B61)</x:f>
        <x:v>1</x:v>
      </x:c>
      <x:c r="K61" s="59" t="n">
        <x:f>ABS(F61-B61)</x:f>
        <x:v>1</x:v>
      </x:c>
      <x:c r="L61" s="59" t="n">
        <x:f>K61-H61</x:f>
        <x:v>0.7000000000000002</x:v>
      </x:c>
      <x:c r="M61" s="59" t="n">
        <x:f>K61-I61</x:f>
        <x:v>0.16000000000000014</x:v>
      </x:c>
      <x:c r="N61" s="59" t="n">
        <x:f>K61-J61</x:f>
        <x:v>0</x:v>
      </x:c>
    </x:row>
    <x:row r="62">
      <x:c r="A62" s="33" t="str">
        <x:v>Ammodytes tobianus</x:v>
      </x:c>
      <x:c r="B62" s="59" t="n">
        <x:v>5.8</x:v>
      </x:c>
      <x:c r="C62" s="59" t="n">
        <x:v>5.1</x:v>
      </x:c>
      <x:c r="D62" s="59" t="n">
        <x:v>5.6</x:v>
      </x:c>
      <x:c r="E62" s="59" t="n">
        <x:v>5.475</x:v>
      </x:c>
      <x:c r="F62" s="59" t="n">
        <x:v>5.475</x:v>
      </x:c>
      <x:c r="G62" s="59" t="str">
        <x:v>Genus</x:v>
      </x:c>
      <x:c r="H62" s="59" t="n">
        <x:f>ABS(C62-B62)</x:f>
        <x:v>0.7000000000000002</x:v>
      </x:c>
      <x:c r="I62" s="59" t="n">
        <x:f>ABS(D62-B62)</x:f>
        <x:v>0.20000000000000018</x:v>
      </x:c>
      <x:c r="J62" s="59" t="n">
        <x:f>ABS(E62-B62)</x:f>
        <x:v>0.3250000000000002</x:v>
      </x:c>
      <x:c r="K62" s="59" t="n">
        <x:f>ABS(F62-B62)</x:f>
        <x:v>0.3250000000000002</x:v>
      </x:c>
      <x:c r="L62" s="59" t="n">
        <x:f>K62-H62</x:f>
        <x:v>-0.375</x:v>
      </x:c>
      <x:c r="M62" s="59" t="n">
        <x:f>K62-I62</x:f>
        <x:v>0.125</x:v>
      </x:c>
      <x:c r="N62" s="59" t="n">
        <x:f>K62-J62</x:f>
        <x:v>0</x:v>
      </x:c>
    </x:row>
    <x:row r="63">
      <x:c r="A63" s="33" t="str">
        <x:v>Trachinus draco</x:v>
      </x:c>
      <x:c r="B63" s="59" t="n">
        <x:v>5.3</x:v>
      </x:c>
      <x:c r="C63" s="59" t="n">
        <x:v>5.1</x:v>
      </x:c>
      <x:c r="D63" s="59" t="n">
        <x:v>5.64</x:v>
      </x:c>
      <x:c r="E63" s="59" t="n">
        <x:v>5.64</x:v>
      </x:c>
      <x:c r="F63" s="59" t="n">
        <x:v>4.92</x:v>
      </x:c>
      <x:c r="G63" s="59" t="str">
        <x:v>Ecological proxy</x:v>
      </x:c>
      <x:c r="H63" s="59" t="n">
        <x:f>ABS(C63-B63)</x:f>
        <x:v>0.20000000000000018</x:v>
      </x:c>
      <x:c r="I63" s="59" t="n">
        <x:f>ABS(D63-B63)</x:f>
        <x:v>0.33999999999999986</x:v>
      </x:c>
      <x:c r="J63" s="59" t="n">
        <x:f>ABS(E63-B63)</x:f>
        <x:v>0.33999999999999986</x:v>
      </x:c>
      <x:c r="K63" s="59" t="n">
        <x:f>ABS(F63-B63)</x:f>
        <x:v>0.3799999999999999</x:v>
      </x:c>
      <x:c r="L63" s="59" t="n">
        <x:f>K63-H63</x:f>
        <x:v>0.17999999999999972</x:v>
      </x:c>
      <x:c r="M63" s="59" t="n">
        <x:f>K63-I63</x:f>
        <x:v>0.040000000000000036</x:v>
      </x:c>
      <x:c r="N63" s="59" t="n">
        <x:f>K63-J63</x:f>
        <x:v>0.040000000000000036</x:v>
      </x:c>
    </x:row>
    <x:row r="64">
      <x:c r="A64" s="33" t="str">
        <x:v>Paralipophrys trigloides</x:v>
      </x:c>
      <x:c r="B64" s="59" t="n">
        <x:v>5.5</x:v>
      </x:c>
      <x:c r="C64" s="59" t="n">
        <x:v>5.1</x:v>
      </x:c>
      <x:c r="D64" s="59" t="n">
        <x:v>5.64</x:v>
      </x:c>
      <x:c r="E64" s="59" t="n">
        <x:v>5.64</x:v>
      </x:c>
      <x:c r="F64" s="59" t="n">
        <x:v>4.92</x:v>
      </x:c>
      <x:c r="G64" s="59" t="str">
        <x:v>Ecological proxy</x:v>
      </x:c>
      <x:c r="H64" s="59" t="n">
        <x:f>ABS(C64-B64)</x:f>
        <x:v>0.40000000000000036</x:v>
      </x:c>
      <x:c r="I64" s="59" t="n">
        <x:f>ABS(D64-B64)</x:f>
        <x:v>0.13999999999999968</x:v>
      </x:c>
      <x:c r="J64" s="59" t="n">
        <x:f>ABS(E64-B64)</x:f>
        <x:v>0.13999999999999968</x:v>
      </x:c>
      <x:c r="K64" s="59" t="n">
        <x:f>ABS(F64-B64)</x:f>
        <x:v>0.5800000000000001</x:v>
      </x:c>
      <x:c r="L64" s="59" t="n">
        <x:f>K64-H64</x:f>
        <x:v>0.17999999999999972</x:v>
      </x:c>
      <x:c r="M64" s="59" t="n">
        <x:f>K64-I64</x:f>
        <x:v>0.4400000000000004</x:v>
      </x:c>
      <x:c r="N64" s="59" t="n">
        <x:f>K64-J64</x:f>
        <x:v>0.4400000000000004</x:v>
      </x:c>
    </x:row>
    <x:row r="65">
      <x:c r="A65" s="33" t="str">
        <x:v>Callionymus lyra</x:v>
      </x:c>
      <x:c r="B65" s="59" t="n">
        <x:v>5.2</x:v>
      </x:c>
      <x:c r="C65" s="59" t="n">
        <x:v>5.1</x:v>
      </x:c>
      <x:c r="D65" s="59" t="n">
        <x:v>5.64</x:v>
      </x:c>
      <x:c r="E65" s="59" t="n">
        <x:v>5.64</x:v>
      </x:c>
      <x:c r="F65" s="59" t="n">
        <x:v>4.92</x:v>
      </x:c>
      <x:c r="G65" s="59" t="str">
        <x:v>Ecological proxy</x:v>
      </x:c>
      <x:c r="H65" s="59" t="n">
        <x:f>ABS(C65-B65)</x:f>
        <x:v>0.10000000000000053</x:v>
      </x:c>
      <x:c r="I65" s="59" t="n">
        <x:f>ABS(D65-B65)</x:f>
        <x:v>0.4399999999999995</x:v>
      </x:c>
      <x:c r="J65" s="59" t="n">
        <x:f>ABS(E65-B65)</x:f>
        <x:v>0.4399999999999995</x:v>
      </x:c>
      <x:c r="K65" s="59" t="n">
        <x:f>ABS(F65-B65)</x:f>
        <x:v>0.28000000000000025</x:v>
      </x:c>
      <x:c r="L65" s="59" t="n">
        <x:f>K65-H65</x:f>
        <x:v>0.17999999999999972</x:v>
      </x:c>
      <x:c r="M65" s="59" t="n">
        <x:f>K65-I65</x:f>
        <x:v>-0.15999999999999925</x:v>
      </x:c>
      <x:c r="N65" s="59" t="n">
        <x:f>K65-J65</x:f>
        <x:v>-0.15999999999999925</x:v>
      </x:c>
    </x:row>
    <x:row r="66">
      <x:c r="A66" s="33" t="str">
        <x:v>Lesueurigobius friesii</x:v>
      </x:c>
      <x:c r="B66" s="59" t="n">
        <x:v>5.6</x:v>
      </x:c>
      <x:c r="C66" s="59" t="n">
        <x:v>5.1</x:v>
      </x:c>
      <x:c r="D66" s="59" t="n">
        <x:v>5.64</x:v>
      </x:c>
      <x:c r="E66" s="59" t="n">
        <x:v>4.26</x:v>
      </x:c>
      <x:c r="F66" s="59" t="n">
        <x:v>4.26</x:v>
      </x:c>
      <x:c r="G66" s="59" t="str">
        <x:v>Family</x:v>
      </x:c>
      <x:c r="H66" s="59" t="n">
        <x:f>ABS(C66-B66)</x:f>
        <x:v>0.5</x:v>
      </x:c>
      <x:c r="I66" s="59" t="n">
        <x:f>ABS(D66-B66)</x:f>
        <x:v>0.040000000000000036</x:v>
      </x:c>
      <x:c r="J66" s="59" t="n">
        <x:f>ABS(E66-B66)</x:f>
        <x:v>1.3399999999999999</x:v>
      </x:c>
      <x:c r="K66" s="59" t="n">
        <x:f>ABS(F66-B66)</x:f>
        <x:v>1.3399999999999999</x:v>
      </x:c>
      <x:c r="L66" s="59" t="n">
        <x:f>K66-H66</x:f>
        <x:v>0.8399999999999999</x:v>
      </x:c>
      <x:c r="M66" s="59" t="n">
        <x:f>K66-I66</x:f>
        <x:v>1.2999999999999998</x:v>
      </x:c>
      <x:c r="N66" s="59" t="n">
        <x:f>K66-J66</x:f>
        <x:v>0</x:v>
      </x:c>
    </x:row>
    <x:row r="67">
      <x:c r="A67" s="33" t="str">
        <x:v>Scomber scombrus</x:v>
      </x:c>
      <x:c r="B67" s="59" t="n">
        <x:v>6.815</x:v>
      </x:c>
      <x:c r="C67" s="59" t="n">
        <x:v>5.1</x:v>
      </x:c>
      <x:c r="D67" s="59" t="n">
        <x:v>5.6</x:v>
      </x:c>
      <x:c r="E67" s="59" t="n">
        <x:v>5.43</x:v>
      </x:c>
      <x:c r="F67" s="59" t="n">
        <x:v>5.43</x:v>
      </x:c>
      <x:c r="G67" s="59" t="str">
        <x:v>Genus</x:v>
      </x:c>
      <x:c r="H67" s="59" t="n">
        <x:f>ABS(C67-B67)</x:f>
        <x:v>1.7150000000000007</x:v>
      </x:c>
      <x:c r="I67" s="59" t="n">
        <x:f>ABS(D67-B67)</x:f>
        <x:v>1.2150000000000007</x:v>
      </x:c>
      <x:c r="J67" s="59" t="n">
        <x:f>ABS(E67-B67)</x:f>
        <x:v>1.3850000000000007</x:v>
      </x:c>
      <x:c r="K67" s="59" t="n">
        <x:f>ABS(F67-B67)</x:f>
        <x:v>1.3850000000000007</x:v>
      </x:c>
      <x:c r="L67" s="59" t="n">
        <x:f>K67-H67</x:f>
        <x:v>-0.33000000000000007</x:v>
      </x:c>
      <x:c r="M67" s="59" t="n">
        <x:f>K67-I67</x:f>
        <x:v>0.16999999999999993</x:v>
      </x:c>
      <x:c r="N67" s="59" t="n">
        <x:f>K67-J67</x:f>
        <x:v>0</x:v>
      </x:c>
    </x:row>
    <x:row r="68">
      <x:c r="A68" s="33" t="str">
        <x:v>Lepidorhombus whiffiagonis</x:v>
      </x:c>
      <x:c r="B68" s="59" t="n">
        <x:v>6.1</x:v>
      </x:c>
      <x:c r="C68" s="59" t="n">
        <x:v>5.1</x:v>
      </x:c>
      <x:c r="D68" s="59" t="n">
        <x:v>5.6</x:v>
      </x:c>
      <x:c r="E68" s="59" t="n">
        <x:v>5.6</x:v>
      </x:c>
      <x:c r="F68" s="59" t="n">
        <x:v>4.98</x:v>
      </x:c>
      <x:c r="G68" s="59" t="str">
        <x:v>Ecological proxy</x:v>
      </x:c>
      <x:c r="H68" s="59" t="n">
        <x:f>ABS(C68-B68)</x:f>
        <x:v>1</x:v>
      </x:c>
      <x:c r="I68" s="59" t="n">
        <x:f>ABS(D68-B68)</x:f>
        <x:v>0.5</x:v>
      </x:c>
      <x:c r="J68" s="59" t="n">
        <x:f>ABS(E68-B68)</x:f>
        <x:v>0.5</x:v>
      </x:c>
      <x:c r="K68" s="59" t="n">
        <x:f>ABS(F68-B68)</x:f>
        <x:v>1.1199999999999992</x:v>
      </x:c>
      <x:c r="L68" s="59" t="n">
        <x:f>K68-H68</x:f>
        <x:v>0.11999999999999922</x:v>
      </x:c>
      <x:c r="M68" s="59" t="n">
        <x:f>K68-I68</x:f>
        <x:v>0.6199999999999992</x:v>
      </x:c>
      <x:c r="N68" s="59" t="n">
        <x:f>K68-J68</x:f>
        <x:v>0.6199999999999992</x:v>
      </x:c>
    </x:row>
    <x:row r="69">
      <x:c r="A69" s="33" t="str">
        <x:v>Arnoglossus imperialis</x:v>
      </x:c>
      <x:c r="B69" s="59" t="n">
        <x:v>5.4</x:v>
      </x:c>
      <x:c r="C69" s="59" t="n">
        <x:v>5.1</x:v>
      </x:c>
      <x:c r="D69" s="59" t="n">
        <x:v>5.64</x:v>
      </x:c>
      <x:c r="E69" s="59" t="n">
        <x:v>5.64</x:v>
      </x:c>
      <x:c r="F69" s="59" t="n">
        <x:v>4.98</x:v>
      </x:c>
      <x:c r="G69" s="59" t="str">
        <x:v>Ecological proxy</x:v>
      </x:c>
      <x:c r="H69" s="59" t="n">
        <x:f>ABS(C69-B69)</x:f>
        <x:v>0.3000000000000007</x:v>
      </x:c>
      <x:c r="I69" s="59" t="n">
        <x:f>ABS(D69-B69)</x:f>
        <x:v>0.23999999999999932</x:v>
      </x:c>
      <x:c r="J69" s="59" t="n">
        <x:f>ABS(E69-B69)</x:f>
        <x:v>0.23999999999999932</x:v>
      </x:c>
      <x:c r="K69" s="59" t="n">
        <x:f>ABS(F69-B69)</x:f>
        <x:v>0.41999999999999993</x:v>
      </x:c>
      <x:c r="L69" s="59" t="n">
        <x:f>K69-H69</x:f>
        <x:v>0.11999999999999922</x:v>
      </x:c>
      <x:c r="M69" s="59" t="n">
        <x:f>K69-I69</x:f>
        <x:v>0.1800000000000006</x:v>
      </x:c>
      <x:c r="N69" s="59" t="n">
        <x:f>K69-J69</x:f>
        <x:v>0.1800000000000006</x:v>
      </x:c>
    </x:row>
    <x:row r="70">
      <x:c r="A70" s="33" t="str">
        <x:v>Glyptocephalus cynoglossus</x:v>
      </x:c>
      <x:c r="B70" s="59" t="n">
        <x:v>5.6</x:v>
      </x:c>
      <x:c r="C70" s="59" t="n">
        <x:v>5.1</x:v>
      </x:c>
      <x:c r="D70" s="59" t="n">
        <x:v>5.64</x:v>
      </x:c>
      <x:c r="E70" s="59" t="n">
        <x:v>5.395</x:v>
      </x:c>
      <x:c r="F70" s="59" t="n">
        <x:v>5.395</x:v>
      </x:c>
      <x:c r="G70" s="59" t="str">
        <x:v>Family</x:v>
      </x:c>
      <x:c r="H70" s="59" t="n">
        <x:f>ABS(C70-B70)</x:f>
        <x:v>0.5</x:v>
      </x:c>
      <x:c r="I70" s="59" t="n">
        <x:f>ABS(D70-B70)</x:f>
        <x:v>0.040000000000000036</x:v>
      </x:c>
      <x:c r="J70" s="59" t="n">
        <x:f>ABS(E70-B70)</x:f>
        <x:v>0.20500000000000007</x:v>
      </x:c>
      <x:c r="K70" s="59" t="n">
        <x:f>ABS(F70-B70)</x:f>
        <x:v>0.20500000000000007</x:v>
      </x:c>
      <x:c r="L70" s="59" t="n">
        <x:f>K70-H70</x:f>
        <x:v>-0.29499999999999993</x:v>
      </x:c>
      <x:c r="M70" s="59" t="n">
        <x:f>K70-I70</x:f>
        <x:v>0.16500000000000004</x:v>
      </x:c>
      <x:c r="N70" s="59" t="n">
        <x:f>K70-J70</x:f>
        <x:v>0</x:v>
      </x:c>
    </x:row>
    <x:row r="71">
      <x:c r="A71" s="33" t="str">
        <x:v>Microstomus kitt</x:v>
      </x:c>
      <x:c r="B71" s="59" t="n">
        <x:v>5.8</x:v>
      </x:c>
      <x:c r="C71" s="59" t="n">
        <x:v>5.1</x:v>
      </x:c>
      <x:c r="D71" s="59" t="n">
        <x:v>5.6</x:v>
      </x:c>
      <x:c r="E71" s="59" t="n">
        <x:v>5.295</x:v>
      </x:c>
      <x:c r="F71" s="59" t="n">
        <x:v>5.295</x:v>
      </x:c>
      <x:c r="G71" s="59" t="str">
        <x:v>Family</x:v>
      </x:c>
      <x:c r="H71" s="59" t="n">
        <x:f>ABS(C71-B71)</x:f>
        <x:v>0.7000000000000002</x:v>
      </x:c>
      <x:c r="I71" s="59" t="n">
        <x:f>ABS(D71-B71)</x:f>
        <x:v>0.20000000000000018</x:v>
      </x:c>
      <x:c r="J71" s="59" t="n">
        <x:f>ABS(E71-B71)</x:f>
        <x:v>0.5049999999999999</x:v>
      </x:c>
      <x:c r="K71" s="59" t="n">
        <x:f>ABS(F71-B71)</x:f>
        <x:v>0.5049999999999999</x:v>
      </x:c>
      <x:c r="L71" s="59" t="n">
        <x:f>K71-H71</x:f>
        <x:v>-0.19500000000000028</x:v>
      </x:c>
      <x:c r="M71" s="59" t="n">
        <x:f>K71-I71</x:f>
        <x:v>0.3049999999999997</x:v>
      </x:c>
      <x:c r="N71" s="59" t="n">
        <x:f>K71-J71</x:f>
        <x:v>0</x:v>
      </x:c>
    </x:row>
    <x:row r="72">
      <x:c r="A72" s="33" t="str">
        <x:v>Pleuronectes platessa</x:v>
      </x:c>
      <x:c r="B72" s="59" t="n">
        <x:v>5.8</x:v>
      </x:c>
      <x:c r="C72" s="59" t="n">
        <x:v>5.1</x:v>
      </x:c>
      <x:c r="D72" s="59" t="n">
        <x:v>5.6</x:v>
      </x:c>
      <x:c r="E72" s="59" t="n">
        <x:v>5.295</x:v>
      </x:c>
      <x:c r="F72" s="59" t="n">
        <x:v>5.295</x:v>
      </x:c>
      <x:c r="G72" s="59" t="str">
        <x:v>Family</x:v>
      </x:c>
      <x:c r="H72" s="59" t="n">
        <x:f>ABS(C72-B72)</x:f>
        <x:v>0.7000000000000002</x:v>
      </x:c>
      <x:c r="I72" s="59" t="n">
        <x:f>ABS(D72-B72)</x:f>
        <x:v>0.20000000000000018</x:v>
      </x:c>
      <x:c r="J72" s="59" t="n">
        <x:f>ABS(E72-B72)</x:f>
        <x:v>0.5049999999999999</x:v>
      </x:c>
      <x:c r="K72" s="59" t="n">
        <x:f>ABS(F72-B72)</x:f>
        <x:v>0.5049999999999999</x:v>
      </x:c>
      <x:c r="L72" s="59" t="n">
        <x:f>K72-H72</x:f>
        <x:v>-0.19500000000000028</x:v>
      </x:c>
      <x:c r="M72" s="59" t="n">
        <x:f>K72-I72</x:f>
        <x:v>0.3049999999999997</x:v>
      </x:c>
      <x:c r="N72" s="59" t="n">
        <x:f>K72-J72</x:f>
        <x:v>0</x:v>
      </x:c>
    </x:row>
    <x:row r="73">
      <x:c r="A73" s="33" t="str">
        <x:v>Solea solea</x:v>
      </x:c>
      <x:c r="B73" s="59" t="n">
        <x:v>5</x:v>
      </x:c>
      <x:c r="C73" s="59" t="n">
        <x:v>5.1</x:v>
      </x:c>
      <x:c r="D73" s="59" t="n">
        <x:v>5.64</x:v>
      </x:c>
      <x:c r="E73" s="59" t="n">
        <x:v>6.5</x:v>
      </x:c>
      <x:c r="F73" s="59" t="n">
        <x:v>6.5</x:v>
      </x:c>
      <x:c r="G73" s="59" t="str">
        <x:v>Family</x:v>
      </x:c>
      <x:c r="H73" s="59" t="n">
        <x:f>ABS(C73-B73)</x:f>
        <x:v>0.09999999999999964</x:v>
      </x:c>
      <x:c r="I73" s="59" t="n">
        <x:f>ABS(D73-B73)</x:f>
        <x:v>0.6399999999999997</x:v>
      </x:c>
      <x:c r="J73" s="59" t="n">
        <x:f>ABS(E73-B73)</x:f>
        <x:v>1.5</x:v>
      </x:c>
      <x:c r="K73" s="59" t="n">
        <x:f>ABS(F73-B73)</x:f>
        <x:v>1.5</x:v>
      </x:c>
      <x:c r="L73" s="59" t="n">
        <x:f>K73-H73</x:f>
        <x:v>1.4000000000000004</x:v>
      </x:c>
      <x:c r="M73" s="59" t="n">
        <x:f>K73-I73</x:f>
        <x:v>0.8600000000000003</x:v>
      </x:c>
      <x:c r="N73" s="59" t="n">
        <x:f>K73-J73</x:f>
        <x:v>0</x:v>
      </x:c>
    </x:row>
    <x:row r="74">
      <x:c r="A74" s="33" t="str">
        <x:v>Dicologlossa cuneata</x:v>
      </x:c>
      <x:c r="B74" s="59" t="n">
        <x:v>6.5</x:v>
      </x:c>
      <x:c r="C74" s="59" t="n">
        <x:v>5.1</x:v>
      </x:c>
      <x:c r="D74" s="59" t="n">
        <x:v>5.6</x:v>
      </x:c>
      <x:c r="E74" s="59" t="n">
        <x:v>5</x:v>
      </x:c>
      <x:c r="F74" s="59" t="n">
        <x:v>5</x:v>
      </x:c>
      <x:c r="G74" s="59" t="str">
        <x:v>Family</x:v>
      </x:c>
      <x:c r="H74" s="59" t="n">
        <x:f>ABS(C74-B74)</x:f>
        <x:v>1.4000000000000004</x:v>
      </x:c>
      <x:c r="I74" s="59" t="n">
        <x:f>ABS(D74-B74)</x:f>
        <x:v>0.9000000000000004</x:v>
      </x:c>
      <x:c r="J74" s="59" t="n">
        <x:f>ABS(E74-B74)</x:f>
        <x:v>1.5</x:v>
      </x:c>
      <x:c r="K74" s="59" t="n">
        <x:f>ABS(F74-B74)</x:f>
        <x:v>1.5</x:v>
      </x:c>
      <x:c r="L74" s="59" t="n">
        <x:f>K74-H74</x:f>
        <x:v>0.09999999999999964</x:v>
      </x:c>
      <x:c r="M74" s="59" t="n">
        <x:f>K74-I74</x:f>
        <x:v>0.5999999999999996</x:v>
      </x:c>
      <x:c r="N74" s="59" t="n">
        <x:f>K74-J74</x:f>
        <x:v>0</x:v>
      </x:c>
    </x:row>
    <x:row r="75">
      <x:c r="A75" s="33" t="str">
        <x:v>Aglaophamus australiensis</x:v>
      </x:c>
      <x:c r="B75" s="59" t="n">
        <x:v>1.06</x:v>
      </x:c>
      <x:c r="C75" s="59" t="n">
        <x:v>5.1</x:v>
      </x:c>
      <x:c r="D75" s="59" t="n">
        <x:v>1.365</x:v>
      </x:c>
      <x:c r="E75" s="59" t="n">
        <x:v>1.365</x:v>
      </x:c>
      <x:c r="F75" s="59" t="n">
        <x:v>2.045</x:v>
      </x:c>
      <x:c r="G75" s="59" t="str">
        <x:v>Ecological proxy</x:v>
      </x:c>
      <x:c r="H75" s="59" t="n">
        <x:f>ABS(C75-B75)</x:f>
        <x:v>4.039999999999999</x:v>
      </x:c>
      <x:c r="I75" s="59" t="n">
        <x:f>ABS(D75-B75)</x:f>
        <x:v>0.30499999999999994</x:v>
      </x:c>
      <x:c r="J75" s="59" t="n">
        <x:f>ABS(E75-B75)</x:f>
        <x:v>0.30499999999999994</x:v>
      </x:c>
      <x:c r="K75" s="59" t="n">
        <x:f>ABS(F75-B75)</x:f>
        <x:v>0.9849999999999999</x:v>
      </x:c>
      <x:c r="L75" s="59" t="n">
        <x:f>K75-H75</x:f>
        <x:v>-3.0549999999999993</x:v>
      </x:c>
      <x:c r="M75" s="59" t="n">
        <x:f>K75-I75</x:f>
        <x:v>0.6799999999999999</x:v>
      </x:c>
      <x:c r="N75" s="59" t="n">
        <x:f>K75-J75</x:f>
        <x:v>0.6799999999999999</x:v>
      </x:c>
    </x:row>
    <x:row r="76">
      <x:c r="A76" s="33" t="str">
        <x:v>Australonereis ehlersi</x:v>
      </x:c>
      <x:c r="B76" s="59" t="n">
        <x:v>1.28</x:v>
      </x:c>
      <x:c r="C76" s="59" t="n">
        <x:v>5.1</x:v>
      </x:c>
      <x:c r="D76" s="59" t="n">
        <x:v>1.335</x:v>
      </x:c>
      <x:c r="E76" s="59" t="n">
        <x:v>1.05</x:v>
      </x:c>
      <x:c r="F76" s="59" t="n">
        <x:v>1.05</x:v>
      </x:c>
      <x:c r="G76" s="59" t="str">
        <x:v>Family</x:v>
      </x:c>
      <x:c r="H76" s="59" t="n">
        <x:f>ABS(C76-B76)</x:f>
        <x:v>3.8199999999999994</x:v>
      </x:c>
      <x:c r="I76" s="59" t="n">
        <x:f>ABS(D76-B76)</x:f>
        <x:v>0.05499999999999994</x:v>
      </x:c>
      <x:c r="J76" s="59" t="n">
        <x:f>ABS(E76-B76)</x:f>
        <x:v>0.22999999999999998</x:v>
      </x:c>
      <x:c r="K76" s="59" t="n">
        <x:f>ABS(F76-B76)</x:f>
        <x:v>0.22999999999999998</x:v>
      </x:c>
      <x:c r="L76" s="59" t="n">
        <x:f>K76-H76</x:f>
        <x:v>-3.5899999999999994</x:v>
      </x:c>
      <x:c r="M76" s="59" t="n">
        <x:f>K76-I76</x:f>
        <x:v>0.17500000000000004</x:v>
      </x:c>
      <x:c r="N76" s="59" t="n">
        <x:f>K76-J76</x:f>
        <x:v>0</x:v>
      </x:c>
    </x:row>
    <x:row r="77">
      <x:c r="A77" s="33" t="str">
        <x:v>Phyllodoce novaehollandiae</x:v>
      </x:c>
      <x:c r="B77" s="59" t="n">
        <x:v>0.96</x:v>
      </x:c>
      <x:c r="C77" s="59" t="n">
        <x:v>5.1</x:v>
      </x:c>
      <x:c r="D77" s="59" t="n">
        <x:v>1.365</x:v>
      </x:c>
      <x:c r="E77" s="59" t="n">
        <x:v>1.365</x:v>
      </x:c>
      <x:c r="F77" s="59" t="n">
        <x:v>2.045</x:v>
      </x:c>
      <x:c r="G77" s="59" t="str">
        <x:v>Ecological proxy</x:v>
      </x:c>
      <x:c r="H77" s="59" t="n">
        <x:f>ABS(C77-B77)</x:f>
        <x:v>4.14</x:v>
      </x:c>
      <x:c r="I77" s="59" t="n">
        <x:f>ABS(D77-B77)</x:f>
        <x:v>0.405</x:v>
      </x:c>
      <x:c r="J77" s="59" t="n">
        <x:f>ABS(E77-B77)</x:f>
        <x:v>0.405</x:v>
      </x:c>
      <x:c r="K77" s="59" t="n">
        <x:f>ABS(F77-B77)</x:f>
        <x:v>1.085</x:v>
      </x:c>
      <x:c r="L77" s="59" t="n">
        <x:f>K77-H77</x:f>
        <x:v>-3.0549999999999997</x:v>
      </x:c>
      <x:c r="M77" s="59" t="n">
        <x:f>K77-I77</x:f>
        <x:v>0.6799999999999999</x:v>
      </x:c>
      <x:c r="N77" s="59" t="n">
        <x:f>K77-J77</x:f>
        <x:v>0.6799999999999999</x:v>
      </x:c>
    </x:row>
    <x:row r="78">
      <x:c r="A78" s="33" t="str">
        <x:v>Simplisetia aequisetis</x:v>
      </x:c>
      <x:c r="B78" s="59" t="n">
        <x:v>1.05</x:v>
      </x:c>
      <x:c r="C78" s="59" t="n">
        <x:v>5.1</x:v>
      </x:c>
      <x:c r="D78" s="59" t="n">
        <x:v>1.365</x:v>
      </x:c>
      <x:c r="E78" s="59" t="n">
        <x:v>1.28</x:v>
      </x:c>
      <x:c r="F78" s="59" t="n">
        <x:v>1.28</x:v>
      </x:c>
      <x:c r="G78" s="59" t="str">
        <x:v>Family</x:v>
      </x:c>
      <x:c r="H78" s="59" t="n">
        <x:f>ABS(C78-B78)</x:f>
        <x:v>4.05</x:v>
      </x:c>
      <x:c r="I78" s="59" t="n">
        <x:f>ABS(D78-B78)</x:f>
        <x:v>0.31499999999999995</x:v>
      </x:c>
      <x:c r="J78" s="59" t="n">
        <x:f>ABS(E78-B78)</x:f>
        <x:v>0.22999999999999998</x:v>
      </x:c>
      <x:c r="K78" s="59" t="n">
        <x:f>ABS(F78-B78)</x:f>
        <x:v>0.22999999999999998</x:v>
      </x:c>
      <x:c r="L78" s="59" t="n">
        <x:f>K78-H78</x:f>
        <x:v>-3.82</x:v>
      </x:c>
      <x:c r="M78" s="59" t="n">
        <x:f>K78-I78</x:f>
        <x:v>-0.08499999999999996</x:v>
      </x:c>
      <x:c r="N78" s="59" t="n">
        <x:f>K78-J78</x:f>
        <x:v>0</x:v>
      </x:c>
    </x:row>
    <x:row r="79">
      <x:c r="A79" s="33" t="str">
        <x:v>Ficopomatus enigmaticus</x:v>
      </x:c>
      <x:c r="B79" s="59" t="n">
        <x:v>1.45</x:v>
      </x:c>
      <x:c r="C79" s="59" t="n">
        <x:v>5.1</x:v>
      </x:c>
      <x:c r="D79" s="59" t="n">
        <x:v>1.25</x:v>
      </x:c>
      <x:c r="E79" s="59" t="n">
        <x:v>1.25</x:v>
      </x:c>
      <x:c r="F79" s="59" t="n">
        <x:v>1.25</x:v>
      </x:c>
      <x:c r="G79" s="59" t="str">
        <x:v>Broad</x:v>
      </x:c>
      <x:c r="H79" s="59" t="n">
        <x:f>ABS(C79-B79)</x:f>
        <x:v>3.6499999999999995</x:v>
      </x:c>
      <x:c r="I79" s="59" t="n">
        <x:f>ABS(D79-B79)</x:f>
        <x:v>0.19999999999999996</x:v>
      </x:c>
      <x:c r="J79" s="59" t="n">
        <x:f>ABS(E79-B79)</x:f>
        <x:v>0.19999999999999996</x:v>
      </x:c>
      <x:c r="K79" s="59" t="n">
        <x:f>ABS(F79-B79)</x:f>
        <x:v>0.19999999999999996</x:v>
      </x:c>
      <x:c r="L79" s="59" t="n">
        <x:f>K79-H79</x:f>
        <x:v>-3.4499999999999993</x:v>
      </x:c>
      <x:c r="M79" s="59" t="n">
        <x:f>K79-I79</x:f>
        <x:v>0</x:v>
      </x:c>
      <x:c r="N79" s="59" t="n">
        <x:f>K79-J79</x:f>
        <x:v>0</x:v>
      </x:c>
    </x:row>
    <x:row r="80">
      <x:c r="A80" s="33" t="str">
        <x:v>Hiatula alba</x:v>
      </x:c>
      <x:c r="B80" s="59" t="n">
        <x:v>1.76</x:v>
      </x:c>
      <x:c r="C80" s="59" t="n">
        <x:v>5.1</x:v>
      </x:c>
      <x:c r="D80" s="59" t="n">
        <x:v>2.15</x:v>
      </x:c>
      <x:c r="E80" s="59" t="n">
        <x:v>2.15</x:v>
      </x:c>
      <x:c r="F80" s="59" t="n">
        <x:v>1.98</x:v>
      </x:c>
      <x:c r="G80" s="59" t="str">
        <x:v>Ecological proxy</x:v>
      </x:c>
      <x:c r="H80" s="59" t="n">
        <x:f>ABS(C80-B80)</x:f>
        <x:v>3.34</x:v>
      </x:c>
      <x:c r="I80" s="59" t="n">
        <x:f>ABS(D80-B80)</x:f>
        <x:v>0.3899999999999999</x:v>
      </x:c>
      <x:c r="J80" s="59" t="n">
        <x:f>ABS(E80-B80)</x:f>
        <x:v>0.3899999999999999</x:v>
      </x:c>
      <x:c r="K80" s="59" t="n">
        <x:f>ABS(F80-B80)</x:f>
        <x:v>0.21999999999999997</x:v>
      </x:c>
      <x:c r="L80" s="59" t="n">
        <x:f>K80-H80</x:f>
        <x:v>-3.12</x:v>
      </x:c>
      <x:c r="M80" s="59" t="n">
        <x:f>K80-I80</x:f>
        <x:v>-0.16999999999999993</x:v>
      </x:c>
      <x:c r="N80" s="59" t="n">
        <x:f>K80-J80</x:f>
        <x:v>-0.16999999999999993</x:v>
      </x:c>
    </x:row>
    <x:row r="81">
      <x:c r="A81" s="33" t="str">
        <x:v>Spisula trigonella</x:v>
      </x:c>
      <x:c r="B81" s="59" t="n">
        <x:v>2.15</x:v>
      </x:c>
      <x:c r="C81" s="59" t="n">
        <x:v>5.1</x:v>
      </x:c>
      <x:c r="D81" s="59" t="n">
        <x:v>2.13</x:v>
      </x:c>
      <x:c r="E81" s="59" t="n">
        <x:v>2.13</x:v>
      </x:c>
      <x:c r="F81" s="59" t="n">
        <x:v>2.13</x:v>
      </x:c>
      <x:c r="G81" s="59" t="str">
        <x:v>Ecological proxy</x:v>
      </x:c>
      <x:c r="H81" s="59" t="n">
        <x:f>ABS(C81-B81)</x:f>
        <x:v>2.9499999999999997</x:v>
      </x:c>
      <x:c r="I81" s="59" t="n">
        <x:f>ABS(D81-B81)</x:f>
        <x:v>0.020000000000000018</x:v>
      </x:c>
      <x:c r="J81" s="59" t="n">
        <x:f>ABS(E81-B81)</x:f>
        <x:v>0.020000000000000018</x:v>
      </x:c>
      <x:c r="K81" s="59" t="n">
        <x:f>ABS(F81-B81)</x:f>
        <x:v>0.020000000000000018</x:v>
      </x:c>
      <x:c r="L81" s="59" t="n">
        <x:f>K81-H81</x:f>
        <x:v>-2.9299999999999997</x:v>
      </x:c>
      <x:c r="M81" s="59" t="n">
        <x:f>K81-I81</x:f>
        <x:v>0</x:v>
      </x:c>
      <x:c r="N81" s="59" t="n">
        <x:f>K81-J81</x:f>
        <x:v>0</x:v>
      </x:c>
    </x:row>
    <x:row r="82">
      <x:c r="A82" s="33" t="str">
        <x:v>Amarinus laevis</x:v>
      </x:c>
      <x:c r="B82" s="59" t="n">
        <x:v>2.13</x:v>
      </x:c>
      <x:c r="C82" s="59" t="n">
        <x:v>5.1</x:v>
      </x:c>
      <x:c r="D82" s="59" t="n">
        <x:v>4</x:v>
      </x:c>
      <x:c r="E82" s="59" t="n">
        <x:v>4</x:v>
      </x:c>
      <x:c r="F82" s="59" t="n">
        <x:v>3.07</x:v>
      </x:c>
      <x:c r="G82" s="59" t="str">
        <x:v>Ecological proxy</x:v>
      </x:c>
      <x:c r="H82" s="59" t="n">
        <x:f>ABS(C82-B82)</x:f>
        <x:v>2.9699999999999998</x:v>
      </x:c>
      <x:c r="I82" s="59" t="n">
        <x:f>ABS(D82-B82)</x:f>
        <x:v>1.87</x:v>
      </x:c>
      <x:c r="J82" s="59" t="n">
        <x:f>ABS(E82-B82)</x:f>
        <x:v>1.87</x:v>
      </x:c>
      <x:c r="K82" s="59" t="n">
        <x:f>ABS(F82-B82)</x:f>
        <x:v>0.94</x:v>
      </x:c>
      <x:c r="L82" s="59" t="n">
        <x:f>K82-H82</x:f>
        <x:v>-2.03</x:v>
      </x:c>
      <x:c r="M82" s="59" t="n">
        <x:f>K82-I82</x:f>
        <x:v>-0.9300000000000002</x:v>
      </x:c>
      <x:c r="N82" s="59" t="n">
        <x:f>K82-J82</x:f>
        <x:v>-0.9300000000000002</x:v>
      </x:c>
    </x:row>
    <x:row r="83">
      <x:c r="A83" s="33" t="str">
        <x:v>Paragrapsus gaimardii</x:v>
      </x:c>
      <x:c r="B83" s="59" t="n">
        <x:v>3.64</x:v>
      </x:c>
      <x:c r="C83" s="59" t="n">
        <x:v>5.1</x:v>
      </x:c>
      <x:c r="D83" s="59" t="n">
        <x:v>4</x:v>
      </x:c>
      <x:c r="E83" s="59" t="n">
        <x:v>4</x:v>
      </x:c>
      <x:c r="F83" s="59" t="n">
        <x:v>3.07</x:v>
      </x:c>
      <x:c r="G83" s="59" t="str">
        <x:v>Ecological proxy</x:v>
      </x:c>
      <x:c r="H83" s="59" t="n">
        <x:f>ABS(C83-B83)</x:f>
        <x:v>1.4599999999999995</x:v>
      </x:c>
      <x:c r="I83" s="59" t="n">
        <x:f>ABS(D83-B83)</x:f>
        <x:v>0.3599999999999999</x:v>
      </x:c>
      <x:c r="J83" s="59" t="n">
        <x:f>ABS(E83-B83)</x:f>
        <x:v>0.3599999999999999</x:v>
      </x:c>
      <x:c r="K83" s="59" t="n">
        <x:f>ABS(F83-B83)</x:f>
        <x:v>0.5700000000000003</x:v>
      </x:c>
      <x:c r="L83" s="59" t="n">
        <x:f>K83-H83</x:f>
        <x:v>-0.8899999999999992</x:v>
      </x:c>
      <x:c r="M83" s="59" t="n">
        <x:f>K83-I83</x:f>
        <x:v>0.2100000000000004</x:v>
      </x:c>
      <x:c r="N83" s="59" t="n">
        <x:f>K83-J83</x:f>
        <x:v>0.2100000000000004</x:v>
      </x:c>
    </x:row>
    <x:row r="84">
      <x:c r="A84" s="33" t="str">
        <x:v>Hyporhamphus regularis</x:v>
      </x:c>
      <x:c r="B84" s="59" t="n">
        <x:v>5.83</x:v>
      </x:c>
      <x:c r="C84" s="59" t="n">
        <x:v>5.1</x:v>
      </x:c>
      <x:c r="D84" s="59" t="n">
        <x:v>5.6</x:v>
      </x:c>
      <x:c r="E84" s="59" t="n">
        <x:v>5.6</x:v>
      </x:c>
      <x:c r="F84" s="59" t="n">
        <x:v>5.85</x:v>
      </x:c>
      <x:c r="G84" s="59" t="str">
        <x:v>Ecological proxy</x:v>
      </x:c>
      <x:c r="H84" s="59" t="n">
        <x:f>ABS(C84-B84)</x:f>
        <x:v>0.7300000000000004</x:v>
      </x:c>
      <x:c r="I84" s="59" t="n">
        <x:f>ABS(D84-B84)</x:f>
        <x:v>0.23000000000000043</x:v>
      </x:c>
      <x:c r="J84" s="59" t="n">
        <x:f>ABS(E84-B84)</x:f>
        <x:v>0.23000000000000043</x:v>
      </x:c>
      <x:c r="K84" s="59" t="n">
        <x:f>ABS(F84-B84)</x:f>
        <x:v>0.019999999999999574</x:v>
      </x:c>
      <x:c r="L84" s="59" t="n">
        <x:f>K84-H84</x:f>
        <x:v>-0.7100000000000009</x:v>
      </x:c>
      <x:c r="M84" s="59" t="n">
        <x:f>K84-I84</x:f>
        <x:v>-0.21000000000000085</x:v>
      </x:c>
      <x:c r="N84" s="59" t="n">
        <x:f>K84-J84</x:f>
        <x:v>-0.21000000000000085</x:v>
      </x:c>
    </x:row>
    <x:row r="85">
      <x:c r="A85" s="33" t="str">
        <x:v>Hyperlophus vittatus</x:v>
      </x:c>
      <x:c r="B85" s="59" t="n">
        <x:v>4.4399999999999995</x:v>
      </x:c>
      <x:c r="C85" s="59" t="n">
        <x:v>5.1</x:v>
      </x:c>
      <x:c r="D85" s="59" t="n">
        <x:v>5.64</x:v>
      </x:c>
      <x:c r="E85" s="59" t="n">
        <x:v>6.995</x:v>
      </x:c>
      <x:c r="F85" s="59" t="n">
        <x:v>6.995</x:v>
      </x:c>
      <x:c r="G85" s="59" t="str">
        <x:v>Family</x:v>
      </x:c>
      <x:c r="H85" s="59" t="n">
        <x:f>ABS(C85-B85)</x:f>
        <x:v>0.6600000000000001</x:v>
      </x:c>
      <x:c r="I85" s="59" t="n">
        <x:f>ABS(D85-B85)</x:f>
        <x:v>1.2000000000000002</x:v>
      </x:c>
      <x:c r="J85" s="59" t="n">
        <x:f>ABS(E85-B85)</x:f>
        <x:v>2.5550000000000006</x:v>
      </x:c>
      <x:c r="K85" s="59" t="n">
        <x:f>ABS(F85-B85)</x:f>
        <x:v>2.5550000000000006</x:v>
      </x:c>
      <x:c r="L85" s="59" t="n">
        <x:f>K85-H85</x:f>
        <x:v>1.8950000000000005</x:v>
      </x:c>
      <x:c r="M85" s="59" t="n">
        <x:f>K85-I85</x:f>
        <x:v>1.3550000000000004</x:v>
      </x:c>
      <x:c r="N85" s="59" t="n">
        <x:f>K85-J85</x:f>
        <x:v>0</x:v>
      </x:c>
    </x:row>
    <x:row r="86">
      <x:c r="A86" s="33" t="str">
        <x:v>Afurcagobius tamarensis</x:v>
      </x:c>
      <x:c r="B86" s="59" t="n">
        <x:v>5</x:v>
      </x:c>
      <x:c r="C86" s="59" t="n">
        <x:v>5.1</x:v>
      </x:c>
      <x:c r="D86" s="59" t="n">
        <x:v>5.64</x:v>
      </x:c>
      <x:c r="E86" s="59" t="n">
        <x:v>4.26</x:v>
      </x:c>
      <x:c r="F86" s="59" t="n">
        <x:v>4.26</x:v>
      </x:c>
      <x:c r="G86" s="59" t="str">
        <x:v>Family</x:v>
      </x:c>
      <x:c r="H86" s="59" t="n">
        <x:f>ABS(C86-B86)</x:f>
        <x:v>0.09999999999999964</x:v>
      </x:c>
      <x:c r="I86" s="59" t="n">
        <x:f>ABS(D86-B86)</x:f>
        <x:v>0.6399999999999997</x:v>
      </x:c>
      <x:c r="J86" s="59" t="n">
        <x:f>ABS(E86-B86)</x:f>
        <x:v>0.7400000000000002</x:v>
      </x:c>
      <x:c r="K86" s="59" t="n">
        <x:f>ABS(F86-B86)</x:f>
        <x:v>0.7400000000000002</x:v>
      </x:c>
      <x:c r="L86" s="59" t="n">
        <x:f>K86-H86</x:f>
        <x:v>0.6400000000000006</x:v>
      </x:c>
      <x:c r="M86" s="59" t="n">
        <x:f>K86-I86</x:f>
        <x:v>0.10000000000000053</x:v>
      </x:c>
      <x:c r="N86" s="59" t="n">
        <x:f>K86-J86</x:f>
        <x:v>0</x:v>
      </x:c>
    </x:row>
    <x:row r="87">
      <x:c r="A87" s="33" t="str">
        <x:v>Tasmanogobius lasti</x:v>
      </x:c>
      <x:c r="B87" s="59" t="n">
        <x:v>5.64</x:v>
      </x:c>
      <x:c r="C87" s="59" t="n">
        <x:v>5.1</x:v>
      </x:c>
      <x:c r="D87" s="59" t="n">
        <x:v>5.6</x:v>
      </x:c>
      <x:c r="E87" s="59" t="n">
        <x:v>4.26</x:v>
      </x:c>
      <x:c r="F87" s="59" t="n">
        <x:v>4.26</x:v>
      </x:c>
      <x:c r="G87" s="59" t="str">
        <x:v>Family</x:v>
      </x:c>
      <x:c r="H87" s="59" t="n">
        <x:f>ABS(C87-B87)</x:f>
        <x:v>0.54</x:v>
      </x:c>
      <x:c r="I87" s="59" t="n">
        <x:f>ABS(D87-B87)</x:f>
        <x:v>0.040000000000000036</x:v>
      </x:c>
      <x:c r="J87" s="59" t="n">
        <x:f>ABS(E87-B87)</x:f>
        <x:v>1.38</x:v>
      </x:c>
      <x:c r="K87" s="59" t="n">
        <x:f>ABS(F87-B87)</x:f>
        <x:v>1.38</x:v>
      </x:c>
      <x:c r="L87" s="59" t="n">
        <x:f>K87-H87</x:f>
        <x:v>0.8399999999999999</x:v>
      </x:c>
      <x:c r="M87" s="59" t="n">
        <x:f>K87-I87</x:f>
        <x:v>1.3399999999999999</x:v>
      </x:c>
      <x:c r="N87" s="59" t="n">
        <x:f>K87-J87</x:f>
        <x:v>0</x:v>
      </x:c>
    </x:row>
    <x:row r="88">
      <x:c r="A88" s="33" t="str">
        <x:v>Pseudaphritis urvillii</x:v>
      </x:c>
      <x:c r="B88" s="59" t="n">
        <x:v>6.35</x:v>
      </x:c>
      <x:c r="C88" s="59" t="n">
        <x:v>5.1</x:v>
      </x:c>
      <x:c r="D88" s="59" t="n">
        <x:v>5.6</x:v>
      </x:c>
      <x:c r="E88" s="59" t="n">
        <x:v>5.6</x:v>
      </x:c>
      <x:c r="F88" s="59" t="n">
        <x:v>5</x:v>
      </x:c>
      <x:c r="G88" s="59" t="str">
        <x:v>Ecological proxy</x:v>
      </x:c>
      <x:c r="H88" s="59" t="n">
        <x:f>ABS(C88-B88)</x:f>
        <x:v>1.25</x:v>
      </x:c>
      <x:c r="I88" s="59" t="n">
        <x:f>ABS(D88-B88)</x:f>
        <x:v>0.75</x:v>
      </x:c>
      <x:c r="J88" s="59" t="n">
        <x:f>ABS(E88-B88)</x:f>
        <x:v>0.75</x:v>
      </x:c>
      <x:c r="K88" s="59" t="n">
        <x:f>ABS(F88-B88)</x:f>
        <x:v>1.3499999999999996</x:v>
      </x:c>
      <x:c r="L88" s="59" t="n">
        <x:f>K88-H88</x:f>
        <x:v>0.09999999999999964</x:v>
      </x:c>
      <x:c r="M88" s="59" t="n">
        <x:f>K88-I88</x:f>
        <x:v>0.5999999999999996</x:v>
      </x:c>
      <x:c r="N88" s="59" t="n">
        <x:f>K88-J88</x:f>
        <x:v>0.5999999999999996</x:v>
      </x:c>
    </x:row>
    <x:row r="89">
      <x:c r="A89" s="33" t="str">
        <x:v>Atherinosoma microstoma</x:v>
      </x:c>
      <x:c r="B89" s="59" t="n">
        <x:v>5.32</x:v>
      </x:c>
      <x:c r="C89" s="59" t="n">
        <x:v>5.1</x:v>
      </x:c>
      <x:c r="D89" s="59" t="n">
        <x:v>5.64</x:v>
      </x:c>
      <x:c r="E89" s="59" t="n">
        <x:v>4.23</x:v>
      </x:c>
      <x:c r="F89" s="59" t="n">
        <x:v>4.23</x:v>
      </x:c>
      <x:c r="G89" s="59" t="str">
        <x:v>Family</x:v>
      </x:c>
      <x:c r="H89" s="59" t="n">
        <x:f>ABS(C89-B89)</x:f>
        <x:v>0.22000000000000064</x:v>
      </x:c>
      <x:c r="I89" s="59" t="n">
        <x:f>ABS(D89-B89)</x:f>
        <x:v>0.3199999999999994</x:v>
      </x:c>
      <x:c r="J89" s="59" t="n">
        <x:f>ABS(E89-B89)</x:f>
        <x:v>1.0899999999999999</x:v>
      </x:c>
      <x:c r="K89" s="59" t="n">
        <x:f>ABS(F89-B89)</x:f>
        <x:v>1.0899999999999999</x:v>
      </x:c>
      <x:c r="L89" s="59" t="n">
        <x:f>K89-H89</x:f>
        <x:v>0.8699999999999992</x:v>
      </x:c>
      <x:c r="M89" s="59" t="n">
        <x:f>K89-I89</x:f>
        <x:v>0.7700000000000005</x:v>
      </x:c>
      <x:c r="N89" s="59" t="n">
        <x:f>K89-J89</x:f>
        <x:v>0</x:v>
      </x:c>
    </x:row>
    <x:row r="90">
      <x:c r="A90" s="33" t="str">
        <x:v>Aldrichetta forsteri</x:v>
      </x:c>
      <x:c r="B90" s="59" t="n">
        <x:v>6.14</x:v>
      </x:c>
      <x:c r="C90" s="59" t="n">
        <x:v>5.1</x:v>
      </x:c>
      <x:c r="D90" s="59" t="n">
        <x:v>5.6</x:v>
      </x:c>
      <x:c r="E90" s="59" t="n">
        <x:v>5.945</x:v>
      </x:c>
      <x:c r="F90" s="59" t="n">
        <x:v>5.945</x:v>
      </x:c>
      <x:c r="G90" s="59" t="str">
        <x:v>Family</x:v>
      </x:c>
      <x:c r="H90" s="59" t="n">
        <x:f>ABS(C90-B90)</x:f>
        <x:v>1.04</x:v>
      </x:c>
      <x:c r="I90" s="59" t="n">
        <x:f>ABS(D90-B90)</x:f>
        <x:v>0.54</x:v>
      </x:c>
      <x:c r="J90" s="59" t="n">
        <x:f>ABS(E90-B90)</x:f>
        <x:v>0.1949999999999994</x:v>
      </x:c>
      <x:c r="K90" s="59" t="n">
        <x:f>ABS(F90-B90)</x:f>
        <x:v>0.1949999999999994</x:v>
      </x:c>
      <x:c r="L90" s="59" t="n">
        <x:f>K90-H90</x:f>
        <x:v>-0.8450000000000006</x:v>
      </x:c>
      <x:c r="M90" s="59" t="n">
        <x:f>K90-I90</x:f>
        <x:v>-0.34500000000000064</x:v>
      </x:c>
      <x:c r="N90" s="59" t="n">
        <x:f>K90-J90</x:f>
        <x:v>0</x:v>
      </x:c>
    </x:row>
    <x:row r="91">
      <x:c r="A91" s="33" t="str">
        <x:v>Ammotretis rostratus</x:v>
      </x:c>
      <x:c r="B91" s="59" t="n">
        <x:v>4.72</x:v>
      </x:c>
      <x:c r="C91" s="59" t="n">
        <x:v>5.1</x:v>
      </x:c>
      <x:c r="D91" s="59" t="n">
        <x:v>5.64</x:v>
      </x:c>
      <x:c r="E91" s="59" t="n">
        <x:v>5.699999999999999</x:v>
      </x:c>
      <x:c r="F91" s="59" t="n">
        <x:v>5.699999999999999</x:v>
      </x:c>
      <x:c r="G91" s="59" t="str">
        <x:v>Family</x:v>
      </x:c>
      <x:c r="H91" s="59" t="n">
        <x:f>ABS(C91-B91)</x:f>
        <x:v>0.3799999999999999</x:v>
      </x:c>
      <x:c r="I91" s="59" t="n">
        <x:f>ABS(D91-B91)</x:f>
        <x:v>0.9199999999999999</x:v>
      </x:c>
      <x:c r="J91" s="59" t="n">
        <x:f>ABS(E91-B91)</x:f>
        <x:v>0.9799999999999995</x:v>
      </x:c>
      <x:c r="K91" s="59" t="n">
        <x:f>ABS(F91-B91)</x:f>
        <x:v>0.9799999999999995</x:v>
      </x:c>
      <x:c r="L91" s="59" t="n">
        <x:f>K91-H91</x:f>
        <x:v>0.5999999999999996</x:v>
      </x:c>
      <x:c r="M91" s="59" t="n">
        <x:f>K91-I91</x:f>
        <x:v>0.05999999999999961</x:v>
      </x:c>
      <x:c r="N91" s="59" t="n">
        <x:f>K91-J91</x:f>
        <x:v>0</x:v>
      </x:c>
    </x:row>
    <x:row r="92">
      <x:c r="A92" s="33" t="str">
        <x:v>Rhombosolea tapirina</x:v>
      </x:c>
      <x:c r="B92" s="59" t="n">
        <x:v>4.99</x:v>
      </x:c>
      <x:c r="C92" s="59" t="n">
        <x:v>5.1</x:v>
      </x:c>
      <x:c r="D92" s="59" t="n">
        <x:v>5.64</x:v>
      </x:c>
      <x:c r="E92" s="59" t="n">
        <x:v>5.699999999999999</x:v>
      </x:c>
      <x:c r="F92" s="59" t="n">
        <x:v>5.699999999999999</x:v>
      </x:c>
      <x:c r="G92" s="59" t="str">
        <x:v>Family</x:v>
      </x:c>
      <x:c r="H92" s="59" t="n">
        <x:f>ABS(C92-B92)</x:f>
        <x:v>0.10999999999999943</x:v>
      </x:c>
      <x:c r="I92" s="59" t="n">
        <x:f>ABS(D92-B92)</x:f>
        <x:v>0.6499999999999995</x:v>
      </x:c>
      <x:c r="J92" s="59" t="n">
        <x:f>ABS(E92-B92)</x:f>
        <x:v>0.7099999999999991</x:v>
      </x:c>
      <x:c r="K92" s="59" t="n">
        <x:f>ABS(F92-B92)</x:f>
        <x:v>0.7099999999999991</x:v>
      </x:c>
      <x:c r="L92" s="59" t="n">
        <x:f>K92-H92</x:f>
        <x:v>0.5999999999999996</x:v>
      </x:c>
      <x:c r="M92" s="59" t="n">
        <x:f>K92-I92</x:f>
        <x:v>0.05999999999999961</x:v>
      </x:c>
      <x:c r="N92" s="59" t="n">
        <x:f>K92-J92</x:f>
        <x:v>0</x:v>
      </x:c>
    </x:row>
    <x:row r="93">
      <x:c r="A93" s="33" t="str">
        <x:v>Acanthopagrus butcheri</x:v>
      </x:c>
      <x:c r="B93" s="59" t="n">
        <x:v>5.97</x:v>
      </x:c>
      <x:c r="C93" s="59" t="n">
        <x:v>5.1</x:v>
      </x:c>
      <x:c r="D93" s="59" t="n">
        <x:v>5.6</x:v>
      </x:c>
      <x:c r="E93" s="59" t="n">
        <x:v>5.75</x:v>
      </x:c>
      <x:c r="F93" s="59" t="n">
        <x:v>5.75</x:v>
      </x:c>
      <x:c r="G93" s="59" t="str">
        <x:v>Genus</x:v>
      </x:c>
      <x:c r="H93" s="59" t="n">
        <x:f>ABS(C93-B93)</x:f>
        <x:v>0.8700000000000001</x:v>
      </x:c>
      <x:c r="I93" s="59" t="n">
        <x:f>ABS(D93-B93)</x:f>
        <x:v>0.3700000000000001</x:v>
      </x:c>
      <x:c r="J93" s="59" t="n">
        <x:f>ABS(E93-B93)</x:f>
        <x:v>0.21999999999999975</x:v>
      </x:c>
      <x:c r="K93" s="59" t="n">
        <x:f>ABS(F93-B93)</x:f>
        <x:v>0.21999999999999975</x:v>
      </x:c>
      <x:c r="L93" s="59" t="n">
        <x:f>K93-H93</x:f>
        <x:v>-0.6500000000000004</x:v>
      </x:c>
      <x:c r="M93" s="59" t="n">
        <x:f>K93-I93</x:f>
        <x:v>-0.15000000000000036</x:v>
      </x:c>
      <x:c r="N93" s="59" t="n">
        <x:f>K93-J93</x:f>
        <x:v>0</x:v>
      </x:c>
    </x:row>
    <x:row r="94">
      <x:c r="A94" s="33" t="str">
        <x:v>Arripis truttaceus</x:v>
      </x:c>
      <x:c r="B94" s="59" t="n">
        <x:v>5.92</x:v>
      </x:c>
      <x:c r="C94" s="59" t="n">
        <x:v>5.1</x:v>
      </x:c>
      <x:c r="D94" s="59" t="n">
        <x:v>5.6</x:v>
      </x:c>
      <x:c r="E94" s="59" t="n">
        <x:v>5.6</x:v>
      </x:c>
      <x:c r="F94" s="59" t="n">
        <x:v>5.6</x:v>
      </x:c>
      <x:c r="G94" s="59" t="str">
        <x:v>Broad</x:v>
      </x:c>
      <x:c r="H94" s="59" t="n">
        <x:f>ABS(C94-B94)</x:f>
        <x:v>0.8200000000000003</x:v>
      </x:c>
      <x:c r="I94" s="59" t="n">
        <x:f>ABS(D94-B94)</x:f>
        <x:v>0.3200000000000003</x:v>
      </x:c>
      <x:c r="J94" s="59" t="n">
        <x:f>ABS(E94-B94)</x:f>
        <x:v>0.3200000000000003</x:v>
      </x:c>
      <x:c r="K94" s="59" t="n">
        <x:f>ABS(F94-B94)</x:f>
        <x:v>0.3200000000000003</x:v>
      </x:c>
      <x:c r="L94" s="59" t="n">
        <x:f>K94-H94</x:f>
        <x:v>-0.5</x:v>
      </x:c>
      <x:c r="M94" s="59" t="n">
        <x:f>K94-I94</x:f>
        <x:v>0</x:v>
      </x:c>
      <x:c r="N94" s="59" t="n">
        <x:f>K94-J94</x:f>
        <x:v>0</x:v>
      </x:c>
    </x:row>
    <x:row r="95">
      <x:c r="A95" s="33" t="str">
        <x:v>Argyrosomus japonicus</x:v>
      </x:c>
      <x:c r="B95" s="59" t="n">
        <x:v>5.56</x:v>
      </x:c>
      <x:c r="C95" s="59" t="n">
        <x:v>5.1</x:v>
      </x:c>
      <x:c r="D95" s="59" t="n">
        <x:v>5.64</x:v>
      </x:c>
      <x:c r="E95" s="59" t="n">
        <x:v>5.64</x:v>
      </x:c>
      <x:c r="F95" s="59" t="n">
        <x:v>5</x:v>
      </x:c>
      <x:c r="G95" s="59" t="str">
        <x:v>Ecological proxy</x:v>
      </x:c>
      <x:c r="H95" s="59" t="n">
        <x:f>ABS(C95-B95)</x:f>
        <x:v>0.45999999999999996</x:v>
      </x:c>
      <x:c r="I95" s="59" t="n">
        <x:f>ABS(D95-B95)</x:f>
        <x:v>0.08000000000000007</x:v>
      </x:c>
      <x:c r="J95" s="59" t="n">
        <x:f>ABS(E95-B95)</x:f>
        <x:v>0.08000000000000007</x:v>
      </x:c>
      <x:c r="K95" s="59" t="n">
        <x:f>ABS(F95-B95)</x:f>
        <x:v>0.5599999999999996</x:v>
      </x:c>
      <x:c r="L95" s="59" t="n">
        <x:f>K95-H95</x:f>
        <x:v>0.09999999999999964</x:v>
      </x:c>
      <x:c r="M95" s="59" t="n">
        <x:f>K95-I95</x:f>
        <x:v>0.47999999999999954</x:v>
      </x:c>
      <x:c r="N95" s="59" t="n">
        <x:f>K95-J95</x:f>
        <x:v>0.47999999999999954</x:v>
      </x:c>
    </x:row>
    <x:row r="96">
      <x:c r="A96" s="33" t="str">
        <x:v>Engraulis mordax</x:v>
      </x:c>
      <x:c r="B96" s="59" t="n">
        <x:v>7.85</x:v>
      </x:c>
      <x:c r="C96" s="59" t="n">
        <x:v>5.1</x:v>
      </x:c>
      <x:c r="D96" s="59" t="n">
        <x:v>5.6</x:v>
      </x:c>
      <x:c r="E96" s="59" t="n">
        <x:v>5.8</x:v>
      </x:c>
      <x:c r="F96" s="59" t="n">
        <x:v>5.8</x:v>
      </x:c>
      <x:c r="G96" s="59" t="str">
        <x:v>Genus</x:v>
      </x:c>
      <x:c r="H96" s="59" t="n">
        <x:f>ABS(C96-B96)</x:f>
        <x:v>2.75</x:v>
      </x:c>
      <x:c r="I96" s="59" t="n">
        <x:f>ABS(D96-B96)</x:f>
        <x:v>2.25</x:v>
      </x:c>
      <x:c r="J96" s="59" t="n">
        <x:f>ABS(E96-B96)</x:f>
        <x:v>2.05</x:v>
      </x:c>
      <x:c r="K96" s="59" t="n">
        <x:f>ABS(F96-B96)</x:f>
        <x:v>2.05</x:v>
      </x:c>
      <x:c r="L96" s="59" t="n">
        <x:f>K96-H96</x:f>
        <x:v>-0.7000000000000002</x:v>
      </x:c>
      <x:c r="M96" s="59" t="n">
        <x:f>K96-I96</x:f>
        <x:v>-0.20000000000000018</x:v>
      </x:c>
      <x:c r="N96" s="59" t="n">
        <x:f>K96-J96</x:f>
        <x:v>0</x:v>
      </x:c>
    </x:row>
    <x:row r="97">
      <x:c r="A97" s="33" t="str">
        <x:v>Sardinops sagax</x:v>
      </x:c>
      <x:c r="B97" s="59" t="n">
        <x:v>6.75</x:v>
      </x:c>
      <x:c r="C97" s="59" t="n">
        <x:v>5.1</x:v>
      </x:c>
      <x:c r="D97" s="59" t="n">
        <x:v>5.6</x:v>
      </x:c>
      <x:c r="E97" s="59" t="n">
        <x:v>6.995</x:v>
      </x:c>
      <x:c r="F97" s="59" t="n">
        <x:v>6.995</x:v>
      </x:c>
      <x:c r="G97" s="59" t="str">
        <x:v>Family</x:v>
      </x:c>
      <x:c r="H97" s="59" t="n">
        <x:f>ABS(C97-B97)</x:f>
        <x:v>1.6500000000000004</x:v>
      </x:c>
      <x:c r="I97" s="59" t="n">
        <x:f>ABS(D97-B97)</x:f>
        <x:v>1.1500000000000004</x:v>
      </x:c>
      <x:c r="J97" s="59" t="n">
        <x:f>ABS(E97-B97)</x:f>
        <x:v>0.2450000000000001</x:v>
      </x:c>
      <x:c r="K97" s="59" t="n">
        <x:f>ABS(F97-B97)</x:f>
        <x:v>0.2450000000000001</x:v>
      </x:c>
      <x:c r="L97" s="59" t="n">
        <x:f>K97-H97</x:f>
        <x:v>-1.4050000000000002</x:v>
      </x:c>
      <x:c r="M97" s="59" t="n">
        <x:f>K97-I97</x:f>
        <x:v>-0.9050000000000002</x:v>
      </x:c>
      <x:c r="N97" s="59" t="n">
        <x:f>K97-J97</x:f>
        <x:v>0</x:v>
      </x:c>
    </x:row>
    <x:row r="98">
      <x:c r="A98" s="33" t="str">
        <x:v>Doryteuthis opalescens</x:v>
      </x:c>
      <x:c r="B98" s="59" t="n">
        <x:v>4.85</x:v>
      </x:c>
      <x:c r="C98" s="59" t="n">
        <x:v>5.1</x:v>
      </x:c>
      <x:c r="D98" s="59" t="n">
        <x:v>4.65</x:v>
      </x:c>
      <x:c r="E98" s="59" t="n">
        <x:v>5.16</x:v>
      </x:c>
      <x:c r="F98" s="59" t="n">
        <x:v>5.16</x:v>
      </x:c>
      <x:c r="G98" s="59" t="str">
        <x:v>Genus</x:v>
      </x:c>
      <x:c r="H98" s="59" t="n">
        <x:f>ABS(C98-B98)</x:f>
        <x:v>0.25</x:v>
      </x:c>
      <x:c r="I98" s="59" t="n">
        <x:f>ABS(D98-B98)</x:f>
        <x:v>0.1999999999999993</x:v>
      </x:c>
      <x:c r="J98" s="59" t="n">
        <x:f>ABS(E98-B98)</x:f>
        <x:v>0.3100000000000005</x:v>
      </x:c>
      <x:c r="K98" s="59" t="n">
        <x:f>ABS(F98-B98)</x:f>
        <x:v>0.3100000000000005</x:v>
      </x:c>
      <x:c r="L98" s="59" t="n">
        <x:f>K98-H98</x:f>
        <x:v>0.0600000000000005</x:v>
      </x:c>
      <x:c r="M98" s="59" t="n">
        <x:f>K98-I98</x:f>
        <x:v>0.11000000000000121</x:v>
      </x:c>
      <x:c r="N98" s="59" t="n">
        <x:f>K98-J98</x:f>
        <x:v>0</x:v>
      </x:c>
    </x:row>
    <x:row r="99">
      <x:c r="A99" s="33" t="str">
        <x:v>Alosa pseudoharengus</x:v>
      </x:c>
      <x:c r="B99" s="59" t="n">
        <x:v>6.99</x:v>
      </x:c>
      <x:c r="C99" s="59" t="n">
        <x:v>5.1</x:v>
      </x:c>
      <x:c r="D99" s="59" t="n">
        <x:v>5.6</x:v>
      </x:c>
      <x:c r="E99" s="59" t="n">
        <x:v>6.875</x:v>
      </x:c>
      <x:c r="F99" s="59" t="n">
        <x:v>6.875</x:v>
      </x:c>
      <x:c r="G99" s="59" t="str">
        <x:v>Family</x:v>
      </x:c>
      <x:c r="H99" s="59" t="n">
        <x:f>ABS(C99-B99)</x:f>
        <x:v>1.8900000000000006</x:v>
      </x:c>
      <x:c r="I99" s="59" t="n">
        <x:f>ABS(D99-B99)</x:f>
        <x:v>1.3900000000000006</x:v>
      </x:c>
      <x:c r="J99" s="59" t="n">
        <x:f>ABS(E99-B99)</x:f>
        <x:v>0.11500000000000021</x:v>
      </x:c>
      <x:c r="K99" s="59" t="n">
        <x:f>ABS(F99-B99)</x:f>
        <x:v>0.11500000000000021</x:v>
      </x:c>
      <x:c r="L99" s="59" t="n">
        <x:f>K99-H99</x:f>
        <x:v>-1.7750000000000004</x:v>
      </x:c>
      <x:c r="M99" s="59" t="n">
        <x:f>K99-I99</x:f>
        <x:v>-1.2750000000000004</x:v>
      </x:c>
      <x:c r="N99" s="59" t="n">
        <x:f>K99-J99</x:f>
        <x:v>0</x:v>
      </x:c>
    </x:row>
    <x:row r="100">
      <x:c r="A100" s="33" t="str">
        <x:v>Merluccius bilinearis</x:v>
      </x:c>
      <x:c r="B100" s="59" t="n">
        <x:v>4.28</x:v>
      </x:c>
      <x:c r="C100" s="59" t="n">
        <x:v>5.1</x:v>
      </x:c>
      <x:c r="D100" s="59" t="n">
        <x:v>5.64</x:v>
      </x:c>
      <x:c r="E100" s="59" t="n">
        <x:v>3.7</x:v>
      </x:c>
      <x:c r="F100" s="59" t="n">
        <x:v>3.7</x:v>
      </x:c>
      <x:c r="G100" s="59" t="str">
        <x:v>Genus</x:v>
      </x:c>
      <x:c r="H100" s="59" t="n">
        <x:f>ABS(C100-B100)</x:f>
        <x:v>0.8199999999999994</x:v>
      </x:c>
      <x:c r="I100" s="59" t="n">
        <x:f>ABS(D100-B100)</x:f>
        <x:v>1.3599999999999994</x:v>
      </x:c>
      <x:c r="J100" s="59" t="n">
        <x:f>ABS(E100-B100)</x:f>
        <x:v>0.5800000000000001</x:v>
      </x:c>
      <x:c r="K100" s="59" t="n">
        <x:f>ABS(F100-B100)</x:f>
        <x:v>0.5800000000000001</x:v>
      </x:c>
      <x:c r="L100" s="59" t="n">
        <x:f>K100-H100</x:f>
        <x:v>-0.23999999999999932</x:v>
      </x:c>
      <x:c r="M100" s="59" t="n">
        <x:f>K100-I100</x:f>
        <x:v>-0.7799999999999994</x:v>
      </x:c>
      <x:c r="N100" s="59" t="n">
        <x:f>K100-J100</x:f>
        <x:v>0</x:v>
      </x:c>
    </x:row>
    <x:row r="101">
      <x:c r="A101" s="33" t="str">
        <x:v>Ammodytes dubius</x:v>
      </x:c>
      <x:c r="B101" s="59" t="n">
        <x:v>6</x:v>
      </x:c>
      <x:c r="C101" s="59" t="n">
        <x:v>5.1</x:v>
      </x:c>
      <x:c r="D101" s="59" t="n">
        <x:v>5.6</x:v>
      </x:c>
      <x:c r="E101" s="59" t="n">
        <x:v>5.375</x:v>
      </x:c>
      <x:c r="F101" s="59" t="n">
        <x:v>5.375</x:v>
      </x:c>
      <x:c r="G101" s="59" t="str">
        <x:v>Genus</x:v>
      </x:c>
      <x:c r="H101" s="59" t="n">
        <x:f>ABS(C101-B101)</x:f>
        <x:v>0.9000000000000004</x:v>
      </x:c>
      <x:c r="I101" s="59" t="n">
        <x:f>ABS(D101-B101)</x:f>
        <x:v>0.40000000000000036</x:v>
      </x:c>
      <x:c r="J101" s="59" t="n">
        <x:f>ABS(E101-B101)</x:f>
        <x:v>0.625</x:v>
      </x:c>
      <x:c r="K101" s="59" t="n">
        <x:f>ABS(F101-B101)</x:f>
        <x:v>0.625</x:v>
      </x:c>
      <x:c r="L101" s="59" t="n">
        <x:f>K101-H101</x:f>
        <x:v>-0.27500000000000036</x:v>
      </x:c>
      <x:c r="M101" s="59" t="n">
        <x:f>K101-I101</x:f>
        <x:v>0.22499999999999964</x:v>
      </x:c>
      <x:c r="N101" s="59" t="n">
        <x:f>K101-J101</x:f>
        <x:v>0</x:v>
      </x:c>
    </x:row>
    <x:row r="102">
      <x:c r="A102" s="33" t="str">
        <x:v>Peprilus triacanthus</x:v>
      </x:c>
      <x:c r="B102" s="59" t="n">
        <x:v>6.74</x:v>
      </x:c>
      <x:c r="C102" s="59" t="n">
        <x:v>5.1</x:v>
      </x:c>
      <x:c r="D102" s="59" t="n">
        <x:v>5.6</x:v>
      </x:c>
      <x:c r="E102" s="59" t="n">
        <x:v>5.6</x:v>
      </x:c>
      <x:c r="F102" s="59" t="n">
        <x:v>6.75</x:v>
      </x:c>
      <x:c r="G102" s="59" t="str">
        <x:v>Ecological proxy</x:v>
      </x:c>
      <x:c r="H102" s="59" t="n">
        <x:f>ABS(C102-B102)</x:f>
        <x:v>1.6400000000000006</x:v>
      </x:c>
      <x:c r="I102" s="59" t="n">
        <x:f>ABS(D102-B102)</x:f>
        <x:v>1.1400000000000006</x:v>
      </x:c>
      <x:c r="J102" s="59" t="n">
        <x:f>ABS(E102-B102)</x:f>
        <x:v>1.1400000000000006</x:v>
      </x:c>
      <x:c r="K102" s="59" t="n">
        <x:f>ABS(F102-B102)</x:f>
        <x:v>0.009999999999999787</x:v>
      </x:c>
      <x:c r="L102" s="59" t="n">
        <x:f>K102-H102</x:f>
        <x:v>-1.6300000000000008</x:v>
      </x:c>
      <x:c r="M102" s="59" t="n">
        <x:f>K102-I102</x:f>
        <x:v>-1.1300000000000008</x:v>
      </x:c>
      <x:c r="N102" s="59" t="n">
        <x:f>K102-J102</x:f>
        <x:v>-1.1300000000000008</x:v>
      </x:c>
    </x:row>
    <x:row r="103">
      <x:c r="A103" s="33" t="str">
        <x:v>Illex illecebrosus</x:v>
      </x:c>
      <x:c r="B103" s="59" t="n">
        <x:v>5.45</x:v>
      </x:c>
      <x:c r="C103" s="59" t="n">
        <x:v>5.1</x:v>
      </x:c>
      <x:c r="D103" s="59" t="n">
        <x:v>4.65</x:v>
      </x:c>
      <x:c r="E103" s="59" t="n">
        <x:v>4.3</x:v>
      </x:c>
      <x:c r="F103" s="59" t="n">
        <x:v>4.3</x:v>
      </x:c>
      <x:c r="G103" s="59" t="str">
        <x:v>Genus</x:v>
      </x:c>
      <x:c r="H103" s="59" t="n">
        <x:f>ABS(C103-B103)</x:f>
        <x:v>0.35000000000000053</x:v>
      </x:c>
      <x:c r="I103" s="59" t="n">
        <x:f>ABS(D103-B103)</x:f>
        <x:v>0.7999999999999998</x:v>
      </x:c>
      <x:c r="J103" s="59" t="n">
        <x:f>ABS(E103-B103)</x:f>
        <x:v>1.1500000000000004</x:v>
      </x:c>
      <x:c r="K103" s="59" t="n">
        <x:f>ABS(F103-B103)</x:f>
        <x:v>1.1500000000000004</x:v>
      </x:c>
      <x:c r="L103" s="59" t="n">
        <x:f>K103-H103</x:f>
        <x:v>0.7999999999999998</x:v>
      </x:c>
      <x:c r="M103" s="59" t="n">
        <x:f>K103-I103</x:f>
        <x:v>0.35000000000000053</x:v>
      </x:c>
      <x:c r="N103" s="59" t="n">
        <x:f>K103-J103</x:f>
        <x:v>0</x:v>
      </x:c>
    </x:row>
    <x:row r="104">
      <x:c r="A104" s="33" t="str">
        <x:v>Doryteuthis pealeii</x:v>
      </x:c>
      <x:c r="B104" s="59" t="n">
        <x:v>5.16</x:v>
      </x:c>
      <x:c r="C104" s="59" t="n">
        <x:v>5.1</x:v>
      </x:c>
      <x:c r="D104" s="59" t="n">
        <x:v>4.65</x:v>
      </x:c>
      <x:c r="E104" s="59" t="n">
        <x:v>4.85</x:v>
      </x:c>
      <x:c r="F104" s="59" t="n">
        <x:v>4.85</x:v>
      </x:c>
      <x:c r="G104" s="59" t="str">
        <x:v>Genus</x:v>
      </x:c>
      <x:c r="H104" s="59" t="n">
        <x:f>ABS(C104-B104)</x:f>
        <x:v>0.0600000000000005</x:v>
      </x:c>
      <x:c r="I104" s="59" t="n">
        <x:f>ABS(D104-B104)</x:f>
        <x:v>0.5099999999999998</x:v>
      </x:c>
      <x:c r="J104" s="59" t="n">
        <x:f>ABS(E104-B104)</x:f>
        <x:v>0.3100000000000005</x:v>
      </x:c>
      <x:c r="K104" s="59" t="n">
        <x:f>ABS(F104-B104)</x:f>
        <x:v>0.3100000000000005</x:v>
      </x:c>
      <x:c r="L104" s="59" t="n">
        <x:f>K104-H104</x:f>
        <x:v>0.25</x:v>
      </x:c>
      <x:c r="M104" s="59" t="n">
        <x:f>K104-I104</x:f>
        <x:v>-0.1999999999999993</x:v>
      </x:c>
      <x:c r="N104" s="59" t="n">
        <x:f>K104-J104</x:f>
        <x:v>0</x:v>
      </x:c>
    </x:row>
    <x:row r="105">
      <x:c r="A105" s="33" t="str">
        <x:v>Pomatomus saltatrix</x:v>
      </x:c>
      <x:c r="B105" s="59" t="n">
        <x:v>7.06</x:v>
      </x:c>
      <x:c r="C105" s="59" t="n">
        <x:v>5.1</x:v>
      </x:c>
      <x:c r="D105" s="59" t="n">
        <x:v>5.6</x:v>
      </x:c>
      <x:c r="E105" s="59" t="n">
        <x:v>5.6</x:v>
      </x:c>
      <x:c r="F105" s="59" t="n">
        <x:v>5.6</x:v>
      </x:c>
      <x:c r="G105" s="59" t="str">
        <x:v>Broad</x:v>
      </x:c>
      <x:c r="H105" s="59" t="n">
        <x:f>ABS(C105-B105)</x:f>
        <x:v>1.96</x:v>
      </x:c>
      <x:c r="I105" s="59" t="n">
        <x:f>ABS(D105-B105)</x:f>
        <x:v>1.46</x:v>
      </x:c>
      <x:c r="J105" s="59" t="n">
        <x:f>ABS(E105-B105)</x:f>
        <x:v>1.46</x:v>
      </x:c>
      <x:c r="K105" s="59" t="n">
        <x:f>ABS(F105-B105)</x:f>
        <x:v>1.46</x:v>
      </x:c>
      <x:c r="L105" s="59" t="n">
        <x:f>K105-H105</x:f>
        <x:v>-0.5</x:v>
      </x:c>
      <x:c r="M105" s="59" t="n">
        <x:f>K105-I105</x:f>
        <x:v>0</x:v>
      </x:c>
      <x:c r="N105" s="59" t="n">
        <x:f>K105-J105</x:f>
        <x:v>0</x:v>
      </x:c>
    </x:row>
    <x:row r="106">
      <x:c r="A106" s="33" t="str">
        <x:v>Trachurus novaezelandiae</x:v>
      </x:c>
      <x:c r="B106" s="59" t="n">
        <x:v>5.78</x:v>
      </x:c>
      <x:c r="C106" s="59" t="n">
        <x:v>5.1</x:v>
      </x:c>
      <x:c r="D106" s="59" t="n">
        <x:v>5.6</x:v>
      </x:c>
      <x:c r="E106" s="59" t="n">
        <x:v>6</x:v>
      </x:c>
      <x:c r="F106" s="59" t="n">
        <x:v>6</x:v>
      </x:c>
      <x:c r="G106" s="59" t="str">
        <x:v>Genus</x:v>
      </x:c>
      <x:c r="H106" s="59" t="n">
        <x:f>ABS(C106-B106)</x:f>
        <x:v>0.6800000000000006</x:v>
      </x:c>
      <x:c r="I106" s="59" t="n">
        <x:f>ABS(D106-B106)</x:f>
        <x:v>0.1800000000000006</x:v>
      </x:c>
      <x:c r="J106" s="59" t="n">
        <x:f>ABS(E106-B106)</x:f>
        <x:v>0.21999999999999975</x:v>
      </x:c>
      <x:c r="K106" s="59" t="n">
        <x:f>ABS(F106-B106)</x:f>
        <x:v>0.21999999999999975</x:v>
      </x:c>
      <x:c r="L106" s="59" t="n">
        <x:f>K106-H106</x:f>
        <x:v>-0.46000000000000085</x:v>
      </x:c>
      <x:c r="M106" s="59" t="n">
        <x:f>K106-I106</x:f>
        <x:v>0.03999999999999915</x:v>
      </x:c>
      <x:c r="N106" s="59" t="n">
        <x:f>K106-J106</x:f>
        <x:v>0</x:v>
      </x:c>
    </x:row>
    <x:row r="107">
      <x:c r="A107" s="33" t="str">
        <x:v>Acanthopagrus australis</x:v>
      </x:c>
      <x:c r="B107" s="59" t="n">
        <x:v>5.75</x:v>
      </x:c>
      <x:c r="C107" s="59" t="n">
        <x:v>5.1</x:v>
      </x:c>
      <x:c r="D107" s="59" t="n">
        <x:v>5.6</x:v>
      </x:c>
      <x:c r="E107" s="59" t="n">
        <x:v>5.97</x:v>
      </x:c>
      <x:c r="F107" s="59" t="n">
        <x:v>5.97</x:v>
      </x:c>
      <x:c r="G107" s="59" t="str">
        <x:v>Genus</x:v>
      </x:c>
      <x:c r="H107" s="59" t="n">
        <x:f>ABS(C107-B107)</x:f>
        <x:v>0.6500000000000004</x:v>
      </x:c>
      <x:c r="I107" s="59" t="n">
        <x:f>ABS(D107-B107)</x:f>
        <x:v>0.15000000000000036</x:v>
      </x:c>
      <x:c r="J107" s="59" t="n">
        <x:f>ABS(E107-B107)</x:f>
        <x:v>0.21999999999999975</x:v>
      </x:c>
      <x:c r="K107" s="59" t="n">
        <x:f>ABS(F107-B107)</x:f>
        <x:v>0.21999999999999975</x:v>
      </x:c>
      <x:c r="L107" s="59" t="n">
        <x:f>K107-H107</x:f>
        <x:v>-0.4300000000000006</x:v>
      </x:c>
      <x:c r="M107" s="59" t="n">
        <x:f>K107-I107</x:f>
        <x:v>0.0699999999999994</x:v>
      </x:c>
      <x:c r="N107" s="59" t="n">
        <x:f>K107-J107</x:f>
        <x:v>0</x:v>
      </x:c>
    </x:row>
    <x:row r="108">
      <x:c r="A108" s="33" t="str">
        <x:v>Scomber australasicus</x:v>
      </x:c>
      <x:c r="B108" s="59" t="n">
        <x:v>5.43</x:v>
      </x:c>
      <x:c r="C108" s="59" t="n">
        <x:v>5.1</x:v>
      </x:c>
      <x:c r="D108" s="59" t="n">
        <x:v>5.64</x:v>
      </x:c>
      <x:c r="E108" s="59" t="n">
        <x:v>6.815</x:v>
      </x:c>
      <x:c r="F108" s="59" t="n">
        <x:v>6.815</x:v>
      </x:c>
      <x:c r="G108" s="59" t="str">
        <x:v>Genus</x:v>
      </x:c>
      <x:c r="H108" s="59" t="n">
        <x:f>ABS(C108-B108)</x:f>
        <x:v>0.33000000000000007</x:v>
      </x:c>
      <x:c r="I108" s="59" t="n">
        <x:f>ABS(D108-B108)</x:f>
        <x:v>0.20999999999999996</x:v>
      </x:c>
      <x:c r="J108" s="59" t="n">
        <x:f>ABS(E108-B108)</x:f>
        <x:v>1.3850000000000007</x:v>
      </x:c>
      <x:c r="K108" s="59" t="n">
        <x:f>ABS(F108-B108)</x:f>
        <x:v>1.3850000000000007</x:v>
      </x:c>
      <x:c r="L108" s="59" t="n">
        <x:f>K108-H108</x:f>
        <x:v>1.0550000000000006</x:v>
      </x:c>
      <x:c r="M108" s="59" t="n">
        <x:f>K108-I108</x:f>
        <x:v>1.1750000000000007</x:v>
      </x:c>
      <x:c r="N108" s="59" t="n">
        <x:f>K108-J108</x:f>
        <x:v>0</x:v>
      </x:c>
    </x:row>
    <x:row r="109">
      <x:c r="A109" s="33" t="str">
        <x:v>Liza argentea</x:v>
      </x:c>
      <x:c r="B109" s="59" t="n">
        <x:v>5.39</x:v>
      </x:c>
      <x:c r="C109" s="59" t="n">
        <x:v>5.1</x:v>
      </x:c>
      <x:c r="D109" s="59" t="n">
        <x:v>5.64</x:v>
      </x:c>
      <x:c r="E109" s="59" t="n">
        <x:v>6.5</x:v>
      </x:c>
      <x:c r="F109" s="59" t="n">
        <x:v>6.5</x:v>
      </x:c>
      <x:c r="G109" s="59" t="str">
        <x:v>Genus</x:v>
      </x:c>
      <x:c r="H109" s="59" t="n">
        <x:f>ABS(C109-B109)</x:f>
        <x:v>0.29000000000000004</x:v>
      </x:c>
      <x:c r="I109" s="59" t="n">
        <x:f>ABS(D109-B109)</x:f>
        <x:v>0.25</x:v>
      </x:c>
      <x:c r="J109" s="59" t="n">
        <x:f>ABS(E109-B109)</x:f>
        <x:v>1.1100000000000003</x:v>
      </x:c>
      <x:c r="K109" s="59" t="n">
        <x:f>ABS(F109-B109)</x:f>
        <x:v>1.1100000000000003</x:v>
      </x:c>
      <x:c r="L109" s="59" t="n">
        <x:f>K109-H109</x:f>
        <x:v>0.8200000000000003</x:v>
      </x:c>
      <x:c r="M109" s="59" t="n">
        <x:f>K109-I109</x:f>
        <x:v>0.8600000000000003</x:v>
      </x:c>
      <x:c r="N109" s="59" t="n">
        <x:f>K109-J109</x:f>
        <x:v>0</x:v>
      </x:c>
    </x:row>
    <x:row r="110">
      <x:c r="A110" s="33" t="str">
        <x:v>Gerres subfasciatus</x:v>
      </x:c>
      <x:c r="B110" s="59" t="n">
        <x:v>5.2</x:v>
      </x:c>
      <x:c r="C110" s="59" t="n">
        <x:v>5.1</x:v>
      </x:c>
      <x:c r="D110" s="59" t="n">
        <x:v>5.64</x:v>
      </x:c>
      <x:c r="E110" s="59" t="n">
        <x:v>5.64</x:v>
      </x:c>
      <x:c r="F110" s="59" t="n">
        <x:v>5</x:v>
      </x:c>
      <x:c r="G110" s="59" t="str">
        <x:v>Ecological proxy</x:v>
      </x:c>
      <x:c r="H110" s="59" t="n">
        <x:f>ABS(C110-B110)</x:f>
        <x:v>0.10000000000000053</x:v>
      </x:c>
      <x:c r="I110" s="59" t="n">
        <x:f>ABS(D110-B110)</x:f>
        <x:v>0.4399999999999995</x:v>
      </x:c>
      <x:c r="J110" s="59" t="n">
        <x:f>ABS(E110-B110)</x:f>
        <x:v>0.4399999999999995</x:v>
      </x:c>
      <x:c r="K110" s="59" t="n">
        <x:f>ABS(F110-B110)</x:f>
        <x:v>0.20000000000000018</x:v>
      </x:c>
      <x:c r="L110" s="59" t="n">
        <x:f>K110-H110</x:f>
        <x:v>0.09999999999999964</x:v>
      </x:c>
      <x:c r="M110" s="59" t="n">
        <x:f>K110-I110</x:f>
        <x:v>-0.23999999999999932</x:v>
      </x:c>
      <x:c r="N110" s="59" t="n">
        <x:f>K110-J110</x:f>
        <x:v>-0.23999999999999932</x:v>
      </x:c>
    </x:row>
    <x:row r="111">
      <x:c r="A111" s="33" t="str">
        <x:v>Sillago ciliata</x:v>
      </x:c>
      <x:c r="B111" s="59" t="n">
        <x:v>5.02</x:v>
      </x:c>
      <x:c r="C111" s="59" t="n">
        <x:v>5.1</x:v>
      </x:c>
      <x:c r="D111" s="59" t="n">
        <x:v>5.64</x:v>
      </x:c>
      <x:c r="E111" s="59" t="n">
        <x:v>5.64</x:v>
      </x:c>
      <x:c r="F111" s="59" t="n">
        <x:v>5</x:v>
      </x:c>
      <x:c r="G111" s="59" t="str">
        <x:v>Ecological proxy</x:v>
      </x:c>
      <x:c r="H111" s="59" t="n">
        <x:f>ABS(C111-B111)</x:f>
        <x:v>0.08000000000000007</x:v>
      </x:c>
      <x:c r="I111" s="59" t="n">
        <x:f>ABS(D111-B111)</x:f>
        <x:v>0.6200000000000001</x:v>
      </x:c>
      <x:c r="J111" s="59" t="n">
        <x:f>ABS(E111-B111)</x:f>
        <x:v>0.6200000000000001</x:v>
      </x:c>
      <x:c r="K111" s="59" t="n">
        <x:f>ABS(F111-B111)</x:f>
        <x:v>0.019999999999999574</x:v>
      </x:c>
      <x:c r="L111" s="59" t="n">
        <x:f>K111-H111</x:f>
        <x:v>-0.0600000000000005</x:v>
      </x:c>
      <x:c r="M111" s="59" t="n">
        <x:f>K111-I111</x:f>
        <x:v>-0.6000000000000005</x:v>
      </x:c>
      <x:c r="N111" s="59" t="n">
        <x:f>K111-J111</x:f>
        <x:v>-0.6000000000000005</x:v>
      </x:c>
    </x:row>
    <x:row r="112">
      <x:c r="A112" s="33" t="str">
        <x:v>Metapenaeus macleayi</x:v>
      </x:c>
      <x:c r="B112" s="59" t="n">
        <x:v>3.84</x:v>
      </x:c>
      <x:c r="C112" s="59" t="n">
        <x:v>5.1</x:v>
      </x:c>
      <x:c r="D112" s="59" t="n">
        <x:v>4</x:v>
      </x:c>
      <x:c r="E112" s="59" t="n">
        <x:v>4</x:v>
      </x:c>
      <x:c r="F112" s="59" t="n">
        <x:v>4.1</x:v>
      </x:c>
      <x:c r="G112" s="59" t="str">
        <x:v>Ecological proxy</x:v>
      </x:c>
      <x:c r="H112" s="59" t="n">
        <x:f>ABS(C112-B112)</x:f>
        <x:v>1.2599999999999998</x:v>
      </x:c>
      <x:c r="I112" s="59" t="n">
        <x:f>ABS(D112-B112)</x:f>
        <x:v>0.16000000000000014</x:v>
      </x:c>
      <x:c r="J112" s="59" t="n">
        <x:f>ABS(E112-B112)</x:f>
        <x:v>0.16000000000000014</x:v>
      </x:c>
      <x:c r="K112" s="59" t="n">
        <x:f>ABS(F112-B112)</x:f>
        <x:v>0.2599999999999998</x:v>
      </x:c>
      <x:c r="L112" s="59" t="n">
        <x:f>K112-H112</x:f>
        <x:v>-1</x:v>
      </x:c>
      <x:c r="M112" s="59" t="n">
        <x:f>K112-I112</x:f>
        <x:v>0.09999999999999964</x:v>
      </x:c>
      <x:c r="N112" s="59" t="n">
        <x:f>K112-J112</x:f>
        <x:v>0.09999999999999964</x:v>
      </x:c>
    </x:row>
    <x:row r="113">
      <x:c r="A113" s="33" t="str">
        <x:v>Euphausia superba</x:v>
      </x:c>
      <x:c r="B113" s="59" t="n">
        <x:v>3.73</x:v>
      </x:c>
      <x:c r="C113" s="59" t="n">
        <x:v>5.1</x:v>
      </x:c>
      <x:c r="D113" s="59" t="n">
        <x:v>4</x:v>
      </x:c>
      <x:c r="E113" s="59" t="n">
        <x:v>3.9</x:v>
      </x:c>
      <x:c r="F113" s="59" t="n">
        <x:v>3.9</x:v>
      </x:c>
      <x:c r="G113" s="59" t="str">
        <x:v>Family</x:v>
      </x:c>
      <x:c r="H113" s="59" t="n">
        <x:f>ABS(C113-B113)</x:f>
        <x:v>1.3699999999999997</x:v>
      </x:c>
      <x:c r="I113" s="59" t="n">
        <x:f>ABS(D113-B113)</x:f>
        <x:v>0.27</x:v>
      </x:c>
      <x:c r="J113" s="59" t="n">
        <x:f>ABS(E113-B113)</x:f>
        <x:v>0.16999999999999993</x:v>
      </x:c>
      <x:c r="K113" s="59" t="n">
        <x:f>ABS(F113-B113)</x:f>
        <x:v>0.16999999999999993</x:v>
      </x:c>
      <x:c r="L113" s="59" t="n">
        <x:f>K113-H113</x:f>
        <x:v>-1.1999999999999997</x:v>
      </x:c>
      <x:c r="M113" s="59" t="n">
        <x:f>K113-I113</x:f>
        <x:v>-0.10000000000000009</x:v>
      </x:c>
      <x:c r="N113" s="59" t="n">
        <x:f>K113-J113</x:f>
        <x:v>0</x:v>
      </x:c>
    </x:row>
    <x:row r="114">
      <x:c r="A114" s="33" t="str">
        <x:v>Dosidicus gigas</x:v>
      </x:c>
      <x:c r="B114" s="59" t="n">
        <x:v>4.22</x:v>
      </x:c>
      <x:c r="C114" s="59" t="n">
        <x:v>5.1</x:v>
      </x:c>
      <x:c r="D114" s="59" t="n">
        <x:v>4.75</x:v>
      </x:c>
      <x:c r="E114" s="59" t="n">
        <x:v>4.925000000000001</x:v>
      </x:c>
      <x:c r="F114" s="59" t="n">
        <x:v>4.925000000000001</x:v>
      </x:c>
      <x:c r="G114" s="59" t="str">
        <x:v>Family</x:v>
      </x:c>
      <x:c r="H114" s="59" t="n">
        <x:f>ABS(C114-B114)</x:f>
        <x:v>0.8799999999999999</x:v>
      </x:c>
      <x:c r="I114" s="59" t="n">
        <x:f>ABS(D114-B114)</x:f>
        <x:v>0.5300000000000002</x:v>
      </x:c>
      <x:c r="J114" s="59" t="n">
        <x:f>ABS(E114-B114)</x:f>
        <x:v>0.705000000000001</x:v>
      </x:c>
      <x:c r="K114" s="59" t="n">
        <x:f>ABS(F114-B114)</x:f>
        <x:v>0.705000000000001</x:v>
      </x:c>
      <x:c r="L114" s="59" t="n">
        <x:f>K114-H114</x:f>
        <x:v>-0.17499999999999893</x:v>
      </x:c>
      <x:c r="M114" s="59" t="n">
        <x:f>K114-I114</x:f>
        <x:v>0.1750000000000007</x:v>
      </x:c>
      <x:c r="N114" s="59" t="n">
        <x:f>K114-J114</x:f>
        <x:v>0</x:v>
      </x:c>
    </x:row>
    <x:row r="115">
      <x:c r="A115" s="33" t="str">
        <x:v>Symplectoteuthis ovalaniensis</x:v>
      </x:c>
      <x:c r="B115" s="59" t="n">
        <x:v>5.59</x:v>
      </x:c>
      <x:c r="C115" s="59" t="n">
        <x:v>5.1</x:v>
      </x:c>
      <x:c r="D115" s="59" t="n">
        <x:v>4.65</x:v>
      </x:c>
      <x:c r="E115" s="59" t="n">
        <x:v>4.35</x:v>
      </x:c>
      <x:c r="F115" s="59" t="n">
        <x:v>4.35</x:v>
      </x:c>
      <x:c r="G115" s="59" t="str">
        <x:v>Family</x:v>
      </x:c>
      <x:c r="H115" s="59" t="n">
        <x:f>ABS(C115-B115)</x:f>
        <x:v>0.4900000000000002</x:v>
      </x:c>
      <x:c r="I115" s="59" t="n">
        <x:f>ABS(D115-B115)</x:f>
        <x:v>0.9399999999999995</x:v>
      </x:c>
      <x:c r="J115" s="59" t="n">
        <x:f>ABS(E115-B115)</x:f>
        <x:v>1.2400000000000002</x:v>
      </x:c>
      <x:c r="K115" s="59" t="n">
        <x:f>ABS(F115-B115)</x:f>
        <x:v>1.2400000000000002</x:v>
      </x:c>
      <x:c r="L115" s="59" t="n">
        <x:f>K115-H115</x:f>
        <x:v>0.75</x:v>
      </x:c>
      <x:c r="M115" s="59" t="n">
        <x:f>K115-I115</x:f>
        <x:v>0.3000000000000007</x:v>
      </x:c>
      <x:c r="N115" s="59" t="n">
        <x:f>K115-J115</x:f>
        <x:v>0</x:v>
      </x:c>
    </x:row>
    <x:row r="116">
      <x:c r="A116" s="33" t="str">
        <x:v>Clinocardium ciliatum</x:v>
      </x:c>
      <x:c r="B116" s="59" t="n">
        <x:v>1.57</x:v>
      </x:c>
      <x:c r="C116" s="59" t="n">
        <x:v>5.1</x:v>
      </x:c>
      <x:c r="D116" s="59" t="n">
        <x:v>2.15</x:v>
      </x:c>
      <x:c r="E116" s="59" t="n">
        <x:v>2.15</x:v>
      </x:c>
      <x:c r="F116" s="59" t="n">
        <x:v>2.15</x:v>
      </x:c>
      <x:c r="G116" s="59" t="str">
        <x:v>Ecological proxy</x:v>
      </x:c>
      <x:c r="H116" s="59" t="n">
        <x:f>ABS(C116-B116)</x:f>
        <x:v>3.5299999999999994</x:v>
      </x:c>
      <x:c r="I116" s="59" t="n">
        <x:f>ABS(D116-B116)</x:f>
        <x:v>0.5799999999999998</x:v>
      </x:c>
      <x:c r="J116" s="59" t="n">
        <x:f>ABS(E116-B116)</x:f>
        <x:v>0.5799999999999998</x:v>
      </x:c>
      <x:c r="K116" s="59" t="n">
        <x:f>ABS(F116-B116)</x:f>
        <x:v>0.5799999999999998</x:v>
      </x:c>
      <x:c r="L116" s="59" t="n">
        <x:f>K116-H116</x:f>
        <x:v>-2.9499999999999993</x:v>
      </x:c>
      <x:c r="M116" s="59" t="n">
        <x:f>K116-I116</x:f>
        <x:v>0</x:v>
      </x:c>
      <x:c r="N116" s="59" t="n">
        <x:f>K116-J116</x:f>
        <x:v>0</x:v>
      </x:c>
    </x:row>
    <x:row r="117">
      <x:c r="A117" s="33" t="str">
        <x:v>Yoldia sapotilla</x:v>
      </x:c>
      <x:c r="B117" s="59" t="n">
        <x:v>2.88</x:v>
      </x:c>
      <x:c r="C117" s="59" t="n">
        <x:v>5.1</x:v>
      </x:c>
      <x:c r="D117" s="59" t="n">
        <x:v>2.13</x:v>
      </x:c>
      <x:c r="E117" s="59" t="n">
        <x:v>2.13</x:v>
      </x:c>
      <x:c r="F117" s="59" t="n">
        <x:v>2.13</x:v>
      </x:c>
      <x:c r="G117" s="59" t="str">
        <x:v>Genus</x:v>
      </x:c>
      <x:c r="H117" s="59" t="n">
        <x:f>ABS(C117-B117)</x:f>
        <x:v>2.2199999999999998</x:v>
      </x:c>
      <x:c r="I117" s="59" t="n">
        <x:f>ABS(D117-B117)</x:f>
        <x:v>0.75</x:v>
      </x:c>
      <x:c r="J117" s="59" t="n">
        <x:f>ABS(E117-B117)</x:f>
        <x:v>0.75</x:v>
      </x:c>
      <x:c r="K117" s="59" t="n">
        <x:f>ABS(F117-B117)</x:f>
        <x:v>0.75</x:v>
      </x:c>
      <x:c r="L117" s="59" t="n">
        <x:f>K117-H117</x:f>
        <x:v>-1.4699999999999998</x:v>
      </x:c>
      <x:c r="M117" s="59" t="n">
        <x:f>K117-I117</x:f>
        <x:v>0</x:v>
      </x:c>
      <x:c r="N117" s="59" t="n">
        <x:f>K117-J117</x:f>
        <x:v>0</x:v>
      </x:c>
    </x:row>
    <x:row r="118">
      <x:c r="A118" s="33" t="str">
        <x:v>Yoldia thraciaeformis</x:v>
      </x:c>
      <x:c r="B118" s="59" t="n">
        <x:v>2.13</x:v>
      </x:c>
      <x:c r="C118" s="59" t="n">
        <x:v>5.1</x:v>
      </x:c>
      <x:c r="D118" s="59" t="n">
        <x:v>2.15</x:v>
      </x:c>
      <x:c r="E118" s="59" t="n">
        <x:v>2.88</x:v>
      </x:c>
      <x:c r="F118" s="59" t="n">
        <x:v>2.88</x:v>
      </x:c>
      <x:c r="G118" s="59" t="str">
        <x:v>Genus</x:v>
      </x:c>
      <x:c r="H118" s="59" t="n">
        <x:f>ABS(C118-B118)</x:f>
        <x:v>2.9699999999999998</x:v>
      </x:c>
      <x:c r="I118" s="59" t="n">
        <x:f>ABS(D118-B118)</x:f>
        <x:v>0.020000000000000018</x:v>
      </x:c>
      <x:c r="J118" s="59" t="n">
        <x:f>ABS(E118-B118)</x:f>
        <x:v>0.75</x:v>
      </x:c>
      <x:c r="K118" s="59" t="n">
        <x:f>ABS(F118-B118)</x:f>
        <x:v>0.75</x:v>
      </x:c>
      <x:c r="L118" s="59" t="n">
        <x:f>K118-H118</x:f>
        <x:v>-2.2199999999999998</x:v>
      </x:c>
      <x:c r="M118" s="59" t="n">
        <x:f>K118-I118</x:f>
        <x:v>0.73</x:v>
      </x:c>
      <x:c r="N118" s="59" t="n">
        <x:f>K118-J118</x:f>
        <x:v>0</x:v>
      </x:c>
    </x:row>
    <x:row r="119">
      <x:c r="A119" s="33" t="str">
        <x:v>Aphrodita hastata</x:v>
      </x:c>
      <x:c r="B119" s="59" t="n">
        <x:v>2.03</x:v>
      </x:c>
      <x:c r="C119" s="59" t="n">
        <x:v>5.1</x:v>
      </x:c>
      <x:c r="D119" s="59" t="n">
        <x:v>1.25</x:v>
      </x:c>
      <x:c r="E119" s="59" t="n">
        <x:v>1.25</x:v>
      </x:c>
      <x:c r="F119" s="59" t="n">
        <x:v>2.045</x:v>
      </x:c>
      <x:c r="G119" s="59" t="str">
        <x:v>Ecological proxy</x:v>
      </x:c>
      <x:c r="H119" s="59" t="n">
        <x:f>ABS(C119-B119)</x:f>
        <x:v>3.07</x:v>
      </x:c>
      <x:c r="I119" s="59" t="n">
        <x:f>ABS(D119-B119)</x:f>
        <x:v>0.7799999999999998</x:v>
      </x:c>
      <x:c r="J119" s="59" t="n">
        <x:f>ABS(E119-B119)</x:f>
        <x:v>0.7799999999999998</x:v>
      </x:c>
      <x:c r="K119" s="59" t="n">
        <x:f>ABS(F119-B119)</x:f>
        <x:v>0.015000000000000124</x:v>
      </x:c>
      <x:c r="L119" s="59" t="n">
        <x:f>K119-H119</x:f>
        <x:v>-3.0549999999999997</x:v>
      </x:c>
      <x:c r="M119" s="59" t="n">
        <x:f>K119-I119</x:f>
        <x:v>-0.7649999999999997</x:v>
      </x:c>
      <x:c r="N119" s="59" t="n">
        <x:f>K119-J119</x:f>
        <x:v>-0.7649999999999997</x:v>
      </x:c>
    </x:row>
    <x:row r="120">
      <x:c r="A120" s="33" t="str">
        <x:v>Luabrinereis fragilis</x:v>
      </x:c>
      <x:c r="B120" s="59" t="n">
        <x:v>4.43</x:v>
      </x:c>
      <x:c r="C120" s="59" t="n">
        <x:v>5.1</x:v>
      </x:c>
      <x:c r="D120" s="59" t="n">
        <x:v>1.25</x:v>
      </x:c>
      <x:c r="E120" s="59" t="n">
        <x:v>1.25</x:v>
      </x:c>
      <x:c r="F120" s="59" t="n">
        <x:v>2.045</x:v>
      </x:c>
      <x:c r="G120" s="59" t="str">
        <x:v>Ecological proxy</x:v>
      </x:c>
      <x:c r="H120" s="59" t="n">
        <x:f>ABS(C120-B120)</x:f>
        <x:v>0.6699999999999999</x:v>
      </x:c>
      <x:c r="I120" s="59" t="n">
        <x:f>ABS(D120-B120)</x:f>
        <x:v>3.1799999999999997</x:v>
      </x:c>
      <x:c r="J120" s="59" t="n">
        <x:f>ABS(E120-B120)</x:f>
        <x:v>3.1799999999999997</x:v>
      </x:c>
      <x:c r="K120" s="59" t="n">
        <x:f>ABS(F120-B120)</x:f>
        <x:v>2.385</x:v>
      </x:c>
      <x:c r="L120" s="59" t="n">
        <x:f>K120-H120</x:f>
        <x:v>1.7149999999999999</x:v>
      </x:c>
      <x:c r="M120" s="59" t="n">
        <x:f>K120-I120</x:f>
        <x:v>-0.7949999999999999</x:v>
      </x:c>
      <x:c r="N120" s="59" t="n">
        <x:f>K120-J120</x:f>
        <x:v>-0.7949999999999999</x:v>
      </x:c>
    </x:row>
    <x:row r="121">
      <x:c r="A121" s="33" t="str">
        <x:v>Nethys ciliata</x:v>
      </x:c>
      <x:c r="B121" s="59" t="n">
        <x:v>3.13</x:v>
      </x:c>
      <x:c r="C121" s="59" t="n">
        <x:v>5.1</x:v>
      </x:c>
      <x:c r="D121" s="59" t="n">
        <x:v>1.25</x:v>
      </x:c>
      <x:c r="E121" s="59" t="n">
        <x:v>1.25</x:v>
      </x:c>
      <x:c r="F121" s="59" t="n">
        <x:v>2.045</x:v>
      </x:c>
      <x:c r="G121" s="59" t="str">
        <x:v>Ecological proxy</x:v>
      </x:c>
      <x:c r="H121" s="59" t="n">
        <x:f>ABS(C121-B121)</x:f>
        <x:v>1.9699999999999998</x:v>
      </x:c>
      <x:c r="I121" s="59" t="n">
        <x:f>ABS(D121-B121)</x:f>
        <x:v>1.88</x:v>
      </x:c>
      <x:c r="J121" s="59" t="n">
        <x:f>ABS(E121-B121)</x:f>
        <x:v>1.88</x:v>
      </x:c>
      <x:c r="K121" s="59" t="n">
        <x:f>ABS(F121-B121)</x:f>
        <x:v>1.085</x:v>
      </x:c>
      <x:c r="L121" s="59" t="n">
        <x:f>K121-H121</x:f>
        <x:v>-0.8849999999999998</x:v>
      </x:c>
      <x:c r="M121" s="59" t="n">
        <x:f>K121-I121</x:f>
        <x:v>-0.7949999999999999</x:v>
      </x:c>
      <x:c r="N121" s="59" t="n">
        <x:f>K121-J121</x:f>
        <x:v>-0.7949999999999999</x:v>
      </x:c>
    </x:row>
    <x:row r="122">
      <x:c r="A122" s="33" t="str">
        <x:v>Mallotus villosus</x:v>
      </x:c>
      <x:c r="B122" s="59" t="n">
        <x:v>7.03</x:v>
      </x:c>
      <x:c r="C122" s="59" t="n">
        <x:v>5.1</x:v>
      </x:c>
      <x:c r="D122" s="59" t="n">
        <x:v>5.6</x:v>
      </x:c>
      <x:c r="E122" s="59" t="n">
        <x:v>11.05</x:v>
      </x:c>
      <x:c r="F122" s="59" t="n">
        <x:v>11.05</x:v>
      </x:c>
      <x:c r="G122" s="59" t="str">
        <x:v>Family</x:v>
      </x:c>
      <x:c r="H122" s="59" t="n">
        <x:f>ABS(C122-B122)</x:f>
        <x:v>1.9300000000000006</x:v>
      </x:c>
      <x:c r="I122" s="59" t="n">
        <x:f>ABS(D122-B122)</x:f>
        <x:v>1.4300000000000006</x:v>
      </x:c>
      <x:c r="J122" s="59" t="n">
        <x:f>ABS(E122-B122)</x:f>
        <x:v>4.0200000000000005</x:v>
      </x:c>
      <x:c r="K122" s="59" t="n">
        <x:f>ABS(F122-B122)</x:f>
        <x:v>4.0200000000000005</x:v>
      </x:c>
      <x:c r="L122" s="59" t="n">
        <x:f>K122-H122</x:f>
        <x:v>2.09</x:v>
      </x:c>
      <x:c r="M122" s="59" t="n">
        <x:f>K122-I122</x:f>
        <x:v>2.59</x:v>
      </x:c>
      <x:c r="N122" s="59" t="n">
        <x:f>K122-J122</x:f>
        <x:v>0</x:v>
      </x:c>
    </x:row>
    <x:row r="123">
      <x:c r="A123" s="33" t="str">
        <x:v>Thaleichthys pacificus</x:v>
      </x:c>
      <x:c r="B123" s="59" t="n">
        <x:v>11.05</x:v>
      </x:c>
      <x:c r="C123" s="59" t="n">
        <x:v>5.1</x:v>
      </x:c>
      <x:c r="D123" s="59" t="n">
        <x:v>5.6</x:v>
      </x:c>
      <x:c r="E123" s="59" t="n">
        <x:v>7.03</x:v>
      </x:c>
      <x:c r="F123" s="59" t="n">
        <x:v>7.03</x:v>
      </x:c>
      <x:c r="G123" s="59" t="str">
        <x:v>Family</x:v>
      </x:c>
      <x:c r="H123" s="59" t="n">
        <x:f>ABS(C123-B123)</x:f>
        <x:v>5.950000000000001</x:v>
      </x:c>
      <x:c r="I123" s="59" t="n">
        <x:f>ABS(D123-B123)</x:f>
        <x:v>5.450000000000001</x:v>
      </x:c>
      <x:c r="J123" s="59" t="n">
        <x:f>ABS(E123-B123)</x:f>
        <x:v>4.0200000000000005</x:v>
      </x:c>
      <x:c r="K123" s="59" t="n">
        <x:f>ABS(F123-B123)</x:f>
        <x:v>4.0200000000000005</x:v>
      </x:c>
      <x:c r="L123" s="59" t="n">
        <x:f>K123-H123</x:f>
        <x:v>-1.9300000000000006</x:v>
      </x:c>
      <x:c r="M123" s="59" t="n">
        <x:f>K123-I123</x:f>
        <x:v>-1.4300000000000006</x:v>
      </x:c>
      <x:c r="N123" s="59" t="n">
        <x:f>K123-J123</x:f>
        <x:v>0</x:v>
      </x:c>
    </x:row>
    <x:row r="124">
      <x:c r="A124" s="33" t="str">
        <x:v>Ammodytes hexapterus</x:v>
      </x:c>
      <x:c r="B124" s="59" t="n">
        <x:v>4.95</x:v>
      </x:c>
      <x:c r="C124" s="59" t="n">
        <x:v>5.1</x:v>
      </x:c>
      <x:c r="D124" s="59" t="n">
        <x:v>5.64</x:v>
      </x:c>
      <x:c r="E124" s="59" t="n">
        <x:v>5.9</x:v>
      </x:c>
      <x:c r="F124" s="59" t="n">
        <x:v>5.9</x:v>
      </x:c>
      <x:c r="G124" s="59" t="str">
        <x:v>Genus</x:v>
      </x:c>
      <x:c r="H124" s="59" t="n">
        <x:f>ABS(C124-B124)</x:f>
        <x:v>0.14999999999999947</x:v>
      </x:c>
      <x:c r="I124" s="59" t="n">
        <x:f>ABS(D124-B124)</x:f>
        <x:v>0.6899999999999995</x:v>
      </x:c>
      <x:c r="J124" s="59" t="n">
        <x:f>ABS(E124-B124)</x:f>
        <x:v>0.9500000000000002</x:v>
      </x:c>
      <x:c r="K124" s="59" t="n">
        <x:f>ABS(F124-B124)</x:f>
        <x:v>0.9500000000000002</x:v>
      </x:c>
      <x:c r="L124" s="59" t="n">
        <x:f>K124-H124</x:f>
        <x:v>0.8000000000000007</x:v>
      </x:c>
      <x:c r="M124" s="59" t="n">
        <x:f>K124-I124</x:f>
        <x:v>0.2600000000000007</x:v>
      </x:c>
      <x:c r="N124" s="59" t="n">
        <x:f>K124-J124</x:f>
        <x:v>0</x:v>
      </x:c>
    </x:row>
    <x:row r="125">
      <x:c r="A125" s="33" t="str">
        <x:v>Cololabis saira</x:v>
      </x:c>
      <x:c r="B125" s="59" t="n">
        <x:v>7</x:v>
      </x:c>
      <x:c r="C125" s="59" t="n">
        <x:v>5.1</x:v>
      </x:c>
      <x:c r="D125" s="59" t="n">
        <x:v>5.6</x:v>
      </x:c>
      <x:c r="E125" s="59" t="n">
        <x:v>5.8</x:v>
      </x:c>
      <x:c r="F125" s="59" t="n">
        <x:v>5.8</x:v>
      </x:c>
      <x:c r="G125" s="59" t="str">
        <x:v>Family</x:v>
      </x:c>
      <x:c r="H125" s="59" t="n">
        <x:f>ABS(C125-B125)</x:f>
        <x:v>1.9000000000000004</x:v>
      </x:c>
      <x:c r="I125" s="59" t="n">
        <x:f>ABS(D125-B125)</x:f>
        <x:v>1.4000000000000004</x:v>
      </x:c>
      <x:c r="J125" s="59" t="n">
        <x:f>ABS(E125-B125)</x:f>
        <x:v>1.2000000000000002</x:v>
      </x:c>
      <x:c r="K125" s="59" t="n">
        <x:f>ABS(F125-B125)</x:f>
        <x:v>1.2000000000000002</x:v>
      </x:c>
      <x:c r="L125" s="59" t="n">
        <x:f>K125-H125</x:f>
        <x:v>-0.7000000000000002</x:v>
      </x:c>
      <x:c r="M125" s="59" t="n">
        <x:f>K125-I125</x:f>
        <x:v>-0.20000000000000018</x:v>
      </x:c>
      <x:c r="N125" s="59" t="n">
        <x:f>K125-J125</x:f>
        <x:v>0</x:v>
      </x:c>
    </x:row>
    <x:row r="126">
      <x:c r="A126" s="33" t="str">
        <x:v>Clupea pallasii</x:v>
      </x:c>
      <x:c r="B126" s="59" t="n">
        <x:v>7</x:v>
      </x:c>
      <x:c r="C126" s="59" t="n">
        <x:v>5.1</x:v>
      </x:c>
      <x:c r="D126" s="59" t="n">
        <x:v>5.6</x:v>
      </x:c>
      <x:c r="E126" s="59" t="n">
        <x:v>7.955</x:v>
      </x:c>
      <x:c r="F126" s="59" t="n">
        <x:v>7.955</x:v>
      </x:c>
      <x:c r="G126" s="59" t="str">
        <x:v>Genus</x:v>
      </x:c>
      <x:c r="H126" s="59" t="n">
        <x:f>ABS(C126-B126)</x:f>
        <x:v>1.9000000000000004</x:v>
      </x:c>
      <x:c r="I126" s="59" t="n">
        <x:f>ABS(D126-B126)</x:f>
        <x:v>1.4000000000000004</x:v>
      </x:c>
      <x:c r="J126" s="59" t="n">
        <x:f>ABS(E126-B126)</x:f>
        <x:v>0.9550000000000001</x:v>
      </x:c>
      <x:c r="K126" s="59" t="n">
        <x:f>ABS(F126-B126)</x:f>
        <x:v>0.9550000000000001</x:v>
      </x:c>
      <x:c r="L126" s="59" t="n">
        <x:f>K126-H126</x:f>
        <x:v>-0.9450000000000003</x:v>
      </x:c>
      <x:c r="M126" s="59" t="n">
        <x:f>K126-I126</x:f>
        <x:v>-0.4450000000000003</x:v>
      </x:c>
      <x:c r="N126" s="59" t="n">
        <x:f>K126-J126</x:f>
        <x:v>0</x:v>
      </x:c>
    </x:row>
    <x:row r="127">
      <x:c r="A127" s="33" t="str">
        <x:v>Pleurogrammus monopterygius</x:v>
      </x:c>
      <x:c r="B127" s="59" t="n">
        <x:v>4.02</x:v>
      </x:c>
      <x:c r="C127" s="59" t="n">
        <x:v>5.1</x:v>
      </x:c>
      <x:c r="D127" s="59" t="n">
        <x:v>5.64</x:v>
      </x:c>
      <x:c r="E127" s="59" t="n">
        <x:v>3.98</x:v>
      </x:c>
      <x:c r="F127" s="59" t="n">
        <x:v>3.98</x:v>
      </x:c>
      <x:c r="G127" s="59" t="str">
        <x:v>Family</x:v>
      </x:c>
      <x:c r="H127" s="59" t="n">
        <x:f>ABS(C127-B127)</x:f>
        <x:v>1.08</x:v>
      </x:c>
      <x:c r="I127" s="59" t="n">
        <x:f>ABS(D127-B127)</x:f>
        <x:v>1.62</x:v>
      </x:c>
      <x:c r="J127" s="59" t="n">
        <x:f>ABS(E127-B127)</x:f>
        <x:v>0.03999999999999959</x:v>
      </x:c>
      <x:c r="K127" s="59" t="n">
        <x:f>ABS(F127-B127)</x:f>
        <x:v>0.03999999999999959</x:v>
      </x:c>
      <x:c r="L127" s="59" t="n">
        <x:f>K127-H127</x:f>
        <x:v>-1.0400000000000005</x:v>
      </x:c>
      <x:c r="M127" s="59" t="n">
        <x:f>K127-I127</x:f>
        <x:v>-1.5800000000000005</x:v>
      </x:c>
      <x:c r="N127" s="59" t="n">
        <x:f>K127-J127</x:f>
        <x:v>0</x:v>
      </x:c>
    </x:row>
    <x:row r="128">
      <x:c r="A128" s="33" t="str">
        <x:v>Ophiodon elongatus</x:v>
      </x:c>
      <x:c r="B128" s="59" t="n">
        <x:v>3.98</x:v>
      </x:c>
      <x:c r="C128" s="59" t="n">
        <x:v>5.1</x:v>
      </x:c>
      <x:c r="D128" s="59" t="n">
        <x:v>5.64</x:v>
      </x:c>
      <x:c r="E128" s="59" t="n">
        <x:v>4.02</x:v>
      </x:c>
      <x:c r="F128" s="59" t="n">
        <x:v>4.02</x:v>
      </x:c>
      <x:c r="G128" s="59" t="str">
        <x:v>Family</x:v>
      </x:c>
      <x:c r="H128" s="59" t="n">
        <x:f>ABS(C128-B128)</x:f>
        <x:v>1.1199999999999997</x:v>
      </x:c>
      <x:c r="I128" s="59" t="n">
        <x:f>ABS(D128-B128)</x:f>
        <x:v>1.6599999999999997</x:v>
      </x:c>
      <x:c r="J128" s="59" t="n">
        <x:f>ABS(E128-B128)</x:f>
        <x:v>0.03999999999999959</x:v>
      </x:c>
      <x:c r="K128" s="59" t="n">
        <x:f>ABS(F128-B128)</x:f>
        <x:v>0.03999999999999959</x:v>
      </x:c>
      <x:c r="L128" s="59" t="n">
        <x:f>K128-H128</x:f>
        <x:v>-1.08</x:v>
      </x:c>
      <x:c r="M128" s="59" t="n">
        <x:f>K128-I128</x:f>
        <x:v>-1.62</x:v>
      </x:c>
      <x:c r="N128" s="59" t="n">
        <x:f>K128-J128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</x:cols>
  <x:sheetData>
    <x:row r="1">
      <x:c r="A1" s="56" t="str">
        <x:v>Actual PECC fallback composition in leave-one-taxon-out validation</x:v>
      </x:c>
      <x:c r="B1" s="56"/>
      <x:c r="C1" s="56"/>
    </x:row>
    <x:row r="2">
      <x:c r="A2" s="33"/>
      <x:c r="B2" s="33"/>
      <x:c r="C2" s="33"/>
    </x:row>
    <x:row r="3">
      <x:c r="A3" s="32" t="str">
        <x:v>Selected fallback level</x:v>
      </x:c>
      <x:c r="B3" s="32" t="str">
        <x:v>n</x:v>
      </x:c>
      <x:c r="C3" s="32" t="str">
        <x:v>Percent of 127 predicted targets</x:v>
      </x:c>
    </x:row>
    <x:row r="4">
      <x:c r="A4" s="33" t="str">
        <x:v>Genus</x:v>
      </x:c>
      <x:c r="B4" s="57" t="n">
        <x:v>27</x:v>
      </x:c>
      <x:c r="C4" s="58" t="n">
        <x:v>21.25984251968504</x:v>
      </x:c>
    </x:row>
    <x:row r="5">
      <x:c r="A5" s="33" t="str">
        <x:v>Family</x:v>
      </x:c>
      <x:c r="B5" s="57" t="n">
        <x:v>48</x:v>
      </x:c>
      <x:c r="C5" s="58" t="n">
        <x:v>37.79527559055118</x:v>
      </x:c>
    </x:row>
    <x:row r="6">
      <x:c r="A6" s="33" t="str">
        <x:v>Ecological proxy</x:v>
      </x:c>
      <x:c r="B6" s="57" t="n">
        <x:v>44</x:v>
      </x:c>
      <x:c r="C6" s="58" t="n">
        <x:v>34.645669291338585</x:v>
      </x:c>
    </x:row>
    <x:row r="7">
      <x:c r="A7" s="33" t="str">
        <x:v>Broad</x:v>
      </x:c>
      <x:c r="B7" s="57" t="n">
        <x:v>8</x:v>
      </x:c>
      <x:c r="C7" s="58" t="n">
        <x:v>6.299212598425196</x:v>
      </x:c>
    </x:row>
    <x:row r="8">
      <x:c r="A8" s="33"/>
      <x:c r="B8" s="33"/>
      <x:c r="C8" s="33"/>
    </x:row>
    <x:row r="9">
      <x:c r="A9" s="25" t="str">
        <x:v>Actual hierarchy use: Genus 27 (21.3%), Family 48 (37.8%), Ecological proxy 44 (34.6%), Broad group 8 (6.3%). These counts are distinct from the forced-level availability counts in the existing Table 2.</x:v>
      </x:c>
      <x:c r="B9" s="25"/>
      <x:c r="C9" s="25"/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/>
      <x:c r="B12" s="25"/>
      <x:c r="C12" s="25"/>
    </x:row>
  </x:sheetData>
  <x:mergeCells>
    <x:mergeCell ref="A1:C1"/>
    <x:mergeCell ref="A9:C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71" t="str">
        <x:v>Independent external evaluation — Hermann et al. (2025)</x:v>
      </x:c>
      <x:c r="B1" s="71"/>
      <x:c r="C1" s="71"/>
      <x:c r="D1" s="71"/>
      <x:c r="E1" s="71"/>
      <x:c r="F1" s="71"/>
      <x:c r="G1" s="71"/>
      <x:c r="H1" s="71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76" t="str">
        <x:v>Item</x:v>
      </x:c>
      <x:c r="B3" s="76" t="str">
        <x:v>Plan / status</x:v>
      </x:c>
      <x:c r="C3" s="33"/>
      <x:c r="D3" s="33"/>
      <x:c r="E3" s="33"/>
      <x:c r="F3" s="33"/>
      <x:c r="G3" s="33"/>
      <x:c r="H3" s="33"/>
    </x:row>
    <x:row r="4">
      <x:c r="A4" s="80" t="str">
        <x:v>Status</x:v>
      </x:c>
      <x:c r="B4" s="33" t="str">
        <x:v>Pending raw CSV; nested holdout and baseline analyses are complete.</x:v>
      </x:c>
      <x:c r="C4" s="33"/>
      <x:c r="D4" s="33"/>
      <x:c r="E4" s="33"/>
      <x:c r="F4" s="33"/>
      <x:c r="G4" s="33"/>
      <x:c r="H4" s="33"/>
    </x:row>
    <x:row r="5">
      <x:c r="A5" s="80" t="str">
        <x:v>Dataset</x:v>
      </x:c>
      <x:c r="B5" s="33" t="str">
        <x:v>Hermann NT, Wuenschel MJ, Furey NB (2025), BCO-DMO 948253 v1</x:v>
      </x:c>
      <x:c r="C5" s="33"/>
      <x:c r="D5" s="33"/>
      <x:c r="E5" s="33"/>
      <x:c r="F5" s="33"/>
      <x:c r="G5" s="33"/>
      <x:c r="H5" s="33"/>
    </x:row>
    <x:row r="6">
      <x:c r="A6" s="80" t="str">
        <x:v>Dataset size</x:v>
      </x:c>
      <x:c r="B6" s="33" t="str">
        <x:v>3,810 records from 134 literature sources; global aquatic-organism synthesis</x:v>
      </x:c>
      <x:c r="C6" s="33"/>
      <x:c r="D6" s="33"/>
      <x:c r="E6" s="33"/>
      <x:c r="F6" s="33"/>
      <x:c r="G6" s="33"/>
      <x:c r="H6" s="33"/>
    </x:row>
    <x:row r="7">
      <x:c r="A7" s="80" t="str">
        <x:v>Primary file</x:v>
      </x:c>
      <x:c r="B7" s="33" t="str">
        <x:v>948253_v1_integrated_database_prey_energy_densities.csv (1.48 MB)</x:v>
      </x:c>
      <x:c r="C7" s="33"/>
      <x:c r="D7" s="33"/>
      <x:c r="E7" s="33"/>
      <x:c r="F7" s="33"/>
      <x:c r="G7" s="33"/>
      <x:c r="H7" s="33"/>
    </x:row>
    <x:row r="8">
      <x:c r="A8" s="80" t="str">
        <x:v>Dataset URL</x:v>
      </x:c>
      <x:c r="B8" s="33" t="str">
        <x:v>https://www.bco-dmo.org/dataset/948253</x:v>
      </x:c>
      <x:c r="C8" s="33"/>
      <x:c r="D8" s="33"/>
      <x:c r="E8" s="33"/>
      <x:c r="F8" s="33"/>
      <x:c r="G8" s="33"/>
      <x:c r="H8" s="33"/>
    </x:row>
    <x:row r="9">
      <x:c r="A9" s="80" t="str">
        <x:v>Dataset DOI</x:v>
      </x:c>
      <x:c r="B9" s="33" t="str">
        <x:v>https://doi.org/10.26008/1912/bco-dmo.948253.1</x:v>
      </x:c>
      <x:c r="C9" s="33"/>
      <x:c r="D9" s="33"/>
      <x:c r="E9" s="33"/>
      <x:c r="F9" s="33"/>
      <x:c r="G9" s="33"/>
      <x:c r="H9" s="33"/>
    </x:row>
    <x:row r="10">
      <x:c r="A10" s="80" t="str">
        <x:v>Publication DOI</x:v>
      </x:c>
      <x:c r="B10" s="33" t="str">
        <x:v>https://doi.org/10.1002/ecy.70154</x:v>
      </x:c>
      <x:c r="C10" s="33"/>
      <x:c r="D10" s="33"/>
      <x:c r="E10" s="33"/>
      <x:c r="F10" s="33"/>
      <x:c r="G10" s="33"/>
      <x:c r="H10" s="33"/>
    </x:row>
    <x:row r="11">
      <x:c r="A11" s="80" t="str">
        <x:v>Primary filter</x:v>
      </x:c>
      <x:c r="B11" s="33" t="str">
        <x:v>Retain marine/estuarine records; exclude freshwater; use whole-organism records for the primary analysis; require species-level taxon and numeric wet-weight ED.</x:v>
      </x:c>
      <x:c r="C11" s="33"/>
      <x:c r="D11" s="33"/>
      <x:c r="E11" s="33"/>
      <x:c r="F11" s="33"/>
      <x:c r="G11" s="33"/>
      <x:c r="H11" s="33"/>
    </x:row>
    <x:row r="12">
      <x:c r="A12" s="80" t="str">
        <x:v>Source separation</x:v>
      </x:c>
      <x:c r="B12" s="33" t="str">
        <x:v>Exclude records originating from literature sources already used in the PECC v1.0.0 reference library.</x:v>
      </x:c>
      <x:c r="C12" s="33"/>
      <x:c r="D12" s="33"/>
      <x:c r="E12" s="33"/>
      <x:c r="F12" s="33"/>
      <x:c r="G12" s="33"/>
      <x:c r="H12" s="33"/>
    </x:row>
    <x:row r="13">
      <x:c r="A13" s="80" t="str">
        <x:v>Validation unit</x:v>
      </x:c>
      <x:c r="B13" s="33" t="str">
        <x:v>Independent source × taxon; collapse duplicate rows within a source–taxon using the median wet-weight ED.</x:v>
      </x:c>
      <x:c r="C13" s="33"/>
      <x:c r="D13" s="33"/>
      <x:c r="E13" s="33"/>
      <x:c r="F13" s="33"/>
      <x:c r="G13" s="33"/>
      <x:c r="H13" s="33"/>
    </x:row>
    <x:row r="14">
      <x:c r="A14" s="80" t="str">
        <x:v>Analysis A</x:v>
      </x:c>
      <x:c r="B14" s="33" t="str">
        <x:v>All independent-source targets. Exact-taxon PECC match is allowed and tests transferability across independent literature sources.</x:v>
      </x:c>
      <x:c r="C14" s="33"/>
      <x:c r="D14" s="33"/>
      <x:c r="E14" s="33"/>
      <x:c r="F14" s="33"/>
      <x:c r="G14" s="33"/>
      <x:c r="H14" s="33"/>
    </x:row>
    <x:row r="15">
      <x:c r="A15" s="80" t="str">
        <x:v>Analysis B</x:v>
      </x:c>
      <x:c r="B15" s="33" t="str">
        <x:v>Fallback-only external subset. Exclude taxa with exact-taxon ED in PECC and evaluate genus &gt; family &gt; ecological proxy &gt; broad group.</x:v>
      </x:c>
      <x:c r="C15" s="33"/>
      <x:c r="D15" s="33"/>
      <x:c r="E15" s="33"/>
      <x:c r="F15" s="33"/>
      <x:c r="G15" s="33"/>
      <x:c r="H15" s="33"/>
    </x:row>
    <x:row r="16">
      <x:c r="A16" s="80" t="str">
        <x:v>Metrics</x:v>
      </x:c>
      <x:c r="B16" s="33" t="str">
        <x:v>Coverage, MAE, RMSE, MAPE, median APE, bias, and calibration slope/intercept if sample size is adequate.</x:v>
      </x:c>
      <x:c r="C16" s="33"/>
      <x:c r="D16" s="33"/>
      <x:c r="E16" s="33"/>
      <x:c r="F16" s="33"/>
      <x:c r="G16" s="33"/>
      <x:c r="H16" s="33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82" t="str">
        <x:v>Why numerical external-validation results are not yet included: the BCO-DMO dataset metadata and public file record are accessible, but the raw CSV itself could not be transferred into this analysis runtime because the download redirects to a temporary signed storage URL. No external-validation metrics have been fabricated. Once the CSV is uploaded locally, this fixed protocol can be run directly.</x:v>
      </x:c>
      <x:c r="B18" s="82"/>
      <x:c r="C18" s="82"/>
      <x:c r="D18" s="82"/>
      <x:c r="E18" s="82"/>
      <x:c r="F18" s="82"/>
      <x:c r="G18" s="82"/>
      <x:c r="H18" s="82"/>
    </x:row>
    <x:row r="19">
      <x:c r="A19" s="82"/>
      <x:c r="B19" s="82"/>
      <x:c r="C19" s="82"/>
      <x:c r="D19" s="82"/>
      <x:c r="E19" s="82"/>
      <x:c r="F19" s="82"/>
      <x:c r="G19" s="82"/>
      <x:c r="H19" s="82"/>
    </x:row>
    <x:row r="20">
      <x:c r="A20" s="82"/>
      <x:c r="B20" s="82"/>
      <x:c r="C20" s="82"/>
      <x:c r="D20" s="82"/>
      <x:c r="E20" s="82"/>
      <x:c r="F20" s="82"/>
      <x:c r="G20" s="82"/>
      <x:c r="H20" s="82"/>
    </x:row>
    <x:row r="21">
      <x:c r="A21" s="82"/>
      <x:c r="B21" s="82"/>
      <x:c r="C21" s="82"/>
      <x:c r="D21" s="82"/>
      <x:c r="E21" s="82"/>
      <x:c r="F21" s="82"/>
      <x:c r="G21" s="82"/>
      <x:c r="H21" s="82"/>
    </x:row>
  </x:sheetData>
  <x:mergeCells>
    <x:mergeCell ref="A1:H1"/>
    <x:mergeCell ref="A17:H21"/>
    <x:mergeCell ref="A18:H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56" t="str">
        <x:v>Ready-to-use manuscript text from completed additional analyses</x:v>
      </x:c>
      <x:c r="B1" s="56"/>
      <x:c r="C1" s="56"/>
      <x:c r="D1" s="56"/>
      <x:c r="E1" s="56"/>
      <x:c r="F1" s="56"/>
      <x:c r="G1" s="56"/>
      <x:c r="H1" s="56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32" t="str">
        <x:v>Section</x:v>
      </x:c>
      <x:c r="B3" s="32" t="str">
        <x:v>Text</x:v>
      </x:c>
      <x:c r="C3" s="33"/>
      <x:c r="D3" s="33"/>
      <x:c r="E3" s="33"/>
      <x:c r="F3" s="33"/>
      <x:c r="G3" s="33"/>
      <x:c r="H3" s="33"/>
    </x:row>
    <x:row r="4">
      <x:c r="A4" s="33" t="str">
        <x:v>Methods — nested holdout</x:v>
      </x:c>
      <x:c r="B4" s="33" t="str">
        <x:v>Hierarchy-consistent nested holdout validation was additionally conducted to approximate the data-absence conditions required for each fallback level. Genus-level performance was evaluated by removing all records for the target species. Family-level performance was evaluated after removing all records assigned to the target genus, ecological-proxy performance after removing all records assigned to the target family, and broad-group performance after removing all records assigned to the target ecological energy-proxy group. Following each holdout, the PECC lookup table was reconstructed from the remaining records and the corresponding fallback estimate was compared with the observed species-specific ED. Prediction performance was quantified using MAE, RMSE, and MAPE.</x:v>
      </x:c>
      <x:c r="C4" s="33"/>
      <x:c r="D4" s="33"/>
      <x:c r="E4" s="33"/>
      <x:c r="F4" s="33"/>
      <x:c r="G4" s="33"/>
      <x:c r="H4" s="33"/>
    </x:row>
    <x:row r="5">
      <x:c r="A5" s="33" t="str">
        <x:v>Results — nested holdout</x:v>
      </x:c>
      <x:c r="B5" s="33" t="str">
        <x:v>Under hierarchy-consistent nested holdouts, genus-level performance was unchanged from the original leave-one-species-out analysis (n = 27; MAE = 0.761 kJ g⁻¹ WW; RMSE = 0.926 kJ g⁻¹ WW; MAPE = 14.68%). Family-level predictions were available for 67 targets and yielded an MAE of 1.135 kJ g⁻¹ WW, RMSE of 1.611 kJ g⁻¹ WW, and MAPE of 19.11%. Ecological-proxy predictions were available for 116 targets, with an MAE of 1.180 kJ g⁻¹ WW, RMSE of 1.598 kJ g⁻¹ WW, and MAPE of 25.97%. Broad-group predictions were available for 127 targets, with an MAE of 1.060 kJ g⁻¹ WW, RMSE of 1.463 kJ g⁻¹ WW, and MAPE of 23.19%. Thus, stricter taxonomic holdouts modestly increased error, particularly for ecological-proxy estimates, but did not qualitatively alter the overall performance pattern.</x:v>
      </x:c>
      <x:c r="C5" s="33"/>
      <x:c r="D5" s="33"/>
      <x:c r="E5" s="33"/>
      <x:c r="F5" s="33"/>
      <x:c r="G5" s="33"/>
      <x:c r="H5" s="33"/>
    </x:row>
    <x:row r="6">
      <x:c r="A6" s="33" t="str">
        <x:v>Methods — baseline comparison</x:v>
      </x:c>
      <x:c r="B6" s="33" t="str">
        <x:v>To determine whether the full PECC hierarchy improved prediction relative to simpler assignment strategies, baseline models were compared using the same 127 leave-one-taxon-out targets for which PECC produced a fallback estimate. The evaluated models were: (1) the global median of remaining exact-taxon ED recommendations, (2) broad-taxonomic-group assignment only, (3) a taxonomic hierarchy using genus &gt; family &gt; broad group without ecological proxies, and (4) the full PECC hierarchy using genus &gt; family &gt; ecological energy proxy &gt; broad group. Absolute prediction errors were compared pairwise. Mean paired differences in absolute error were accompanied by nonparametric bootstrap 95% confidence intervals (20,000 resamples) and paired Wilcoxon signed-rank tests.</x:v>
      </x:c>
      <x:c r="C6" s="33"/>
      <x:c r="D6" s="33"/>
      <x:c r="E6" s="33"/>
      <x:c r="F6" s="33"/>
      <x:c r="G6" s="33"/>
      <x:c r="H6" s="33"/>
    </x:row>
    <x:row r="7">
      <x:c r="A7" s="33" t="str">
        <x:v>Results — baseline comparison</x:v>
      </x:c>
      <x:c r="B7" s="33" t="str">
        <x:v>The full PECC hierarchy yielded an MAE of 1.015 kJ g⁻¹ WW, compared with 1.356 kJ g⁻¹ WW for the global-median baseline, 1.027 kJ g⁻¹ WW for broad-group-only assignment, and 1.043 kJ g⁻¹ WW for the taxonomic hierarchy without ecological proxies. Relative to the global-median baseline, PECC reduced mean absolute error by 0.342 kJ g⁻¹ WW (bootstrap 95% CI: 0.136–0.555 kJ g⁻¹ WW; paired Wilcoxon P = 0.004). In contrast, the difference between full PECC and broad-group-only assignment was small (mean absolute-error reduction = 0.013 kJ g⁻¹ WW; bootstrap 95% CI: −0.127 to 0.153 kJ g⁻¹ WW; P = 0.524). The full hierarchy therefore did not show uniformly superior aggregate predictive accuracy relative to broad-group assignment alone, supporting interpretation of the hierarchy primarily in terms of biological specificity, traceability, and reproducibility.</x:v>
      </x:c>
      <x:c r="C7" s="33"/>
      <x:c r="D7" s="33"/>
      <x:c r="E7" s="33"/>
      <x:c r="F7" s="33"/>
      <x:c r="G7" s="33"/>
      <x:c r="H7" s="33"/>
    </x:row>
    <x:row r="8">
      <x:c r="A8" s="33" t="str">
        <x:v>External evaluation</x:v>
      </x:c>
      <x:c r="B8" s="33" t="str">
        <x:v>Insert after numerical analysis of the Hermann et al. (2025) raw dataset; protocol is listed in External_Eval_PENDING.</x:v>
      </x:c>
      <x:c r="C8" s="33"/>
      <x:c r="D8" s="33"/>
      <x:c r="E8" s="33"/>
      <x:c r="F8" s="33"/>
      <x:c r="G8" s="33"/>
      <x:c r="H8" s="33"/>
    </x:row>
    <x:row r="9">
      <x:c r="A9" s="33" t="str">
        <x:v>Recommended Discussion sentence</x:v>
      </x:c>
      <x:c r="B9" s="33" t="str">
        <x:v>The predefined hierarchy produced only a small improvement in aggregate prediction error relative to broad-group assignment alone; therefore, its principal advantage should be interpreted as taxonomic specificity, traceability, and reproducibility rather than uniformly superior predictive accuracy.</x:v>
      </x:c>
      <x:c r="C9" s="33"/>
      <x:c r="D9" s="33"/>
      <x:c r="E9" s="33"/>
      <x:c r="F9" s="33"/>
      <x:c r="G9" s="33"/>
      <x:c r="H9" s="33"/>
    </x:row>
    <x:row r="10">
      <x:c r="A10" s="33" t="str">
        <x:v>Recommended framing</x:v>
      </x:c>
      <x:c r="B10" s="33" t="str">
        <x:v>Retain the current 187-record dataset as the curated PECC v1.0 reference library. Do not claim that it is the most comprehensive aquatic ED database.</x:v>
      </x:c>
      <x:c r="C10" s="33"/>
      <x:c r="D10" s="33"/>
      <x:c r="E10" s="33"/>
      <x:c r="F10" s="33"/>
      <x:c r="G10" s="33"/>
      <x:c r="H10" s="33"/>
    </x:row>
  </x:sheetData>
  <x:mergeCells>
    <x:mergeCell ref="A1:H1"/>
  </x:mergeCells>
  <x:pageMargins left="0.7" right="0.7" top="0.75" bottom="0.75" header="0.3" footer="0.3"/>
</x:worksheet>
</file>