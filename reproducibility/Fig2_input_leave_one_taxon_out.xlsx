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27ac46742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a74d1add3d4a8a"/>
    <x:sheet xmlns:r="http://schemas.openxmlformats.org/officeDocument/2006/relationships" name="Validation_128" sheetId="2" r:id="Rc58d444220db4079"/>
    <x:sheet xmlns:r="http://schemas.openxmlformats.org/officeDocument/2006/relationships" name="Method" sheetId="3" r:id="R57dfad1ddafc4bf1"/>
    <x:sheet xmlns:r="http://schemas.openxmlformats.org/officeDocument/2006/relationships" name="QC_Review" sheetId="4" r:id="Rc39814366c02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"/>
    <x:numFmt numFmtId="203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i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9D18E"/>
      </x:patternFill>
    </x:fill>
    <x:fill>
      <x:patternFill patternType="solid">
        <x:fgColor rgb="FF8064A2"/>
      </x:patternFill>
    </x:fill>
    <x:fill>
      <x:patternFill patternType="solid">
        <x:fgColor rgb="FFB4A7D6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7ebd6a09c4a37" /><Relationship Type="http://schemas.openxmlformats.org/officeDocument/2006/relationships/theme" Target="/xl/theme/theme1.xml" Id="Rb2d15fee7c434881" /><Relationship Type="http://schemas.openxmlformats.org/officeDocument/2006/relationships/sharedStrings" Target="/xl/sharedStrings.xml" Id="Rb2f3eed2eadf49da" /><Relationship Type="http://schemas.openxmlformats.org/officeDocument/2006/relationships/worksheet" Target="/xl/worksheets/sheet1.xml" Id="R14a74d1add3d4a8a" /><Relationship Type="http://schemas.openxmlformats.org/officeDocument/2006/relationships/worksheet" Target="/xl/worksheets/sheet2.xml" Id="Rc58d444220db4079" /><Relationship Type="http://schemas.openxmlformats.org/officeDocument/2006/relationships/worksheet" Target="/xl/worksheets/sheet3.xml" Id="R57dfad1ddafc4bf1" /><Relationship Type="http://schemas.openxmlformats.org/officeDocument/2006/relationships/worksheet" Target="/xl/worksheets/sheet4.xml" Id="Rc39814366c0249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f30ab03553499e" /><Relationship Type="http://schemas.openxmlformats.org/officeDocument/2006/relationships/chart" Target="/xl/drawings/charts/chart2.xml" Id="Ree6baf7ba08c47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Forced-level prediction error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'Summary'!$R$2:$R$5</c:f>
              <c:strCache>
                <c:ptCount val="0"/>
              </c:strCache>
            </c:strRef>
          </c:cat>
          <c:val>
            <c:numRef>
              <c:f>'Summary'!$S$2:$S$5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'Summary'!$R$2:$R$5</c:f>
              <c:strCache>
                <c:ptCount val="0"/>
              </c:strCache>
            </c:strRef>
          </c:cat>
          <c:val>
            <c:numRef>
              <c:f>'Summary'!$T$2:$T$5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Common-subset error (n=27)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MAE</c:v>
          </c:tx>
          <c:cat>
            <c:strRef>
              <c:f>'Summary'!$R$9:$R$12</c:f>
              <c:strCache>
                <c:ptCount val="0"/>
              </c:strCache>
            </c:strRef>
          </c:cat>
          <c:val>
            <c:numRef>
              <c:f>'Summary'!$S$9:$S$12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'Summary'!$R$9:$R$12</c:f>
              <c:strCache>
                <c:ptCount val="0"/>
              </c:strCache>
            </c:strRef>
          </c:cat>
          <c:val>
            <c:numRef>
              <c:f>'Summary'!$T$9:$T$12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30ab03553499e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6baf7ba08c47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346748faad435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5" t="str">
        <x:v>PECC Leave-One-Taxon-Out Validation</x:v>
      </x:c>
      <x:c r="B1" s="5"/>
      <x:c r="C1" s="5"/>
      <x:c r="D1" s="5"/>
      <x:c r="E1" s="5"/>
      <x:c r="F1" s="5"/>
      <x:c r="G1" s="5"/>
      <x:c r="H1" s="5"/>
      <x:c r="R1" t="str">
        <x:v>Level</x:v>
      </x:c>
      <x:c r="S1" t="str">
        <x:v>MAE</x:v>
      </x:c>
      <x:c r="T1" t="str">
        <x:v>RMSE</x:v>
      </x:c>
    </x:row>
    <x:row r="2">
      <x:c r="R2" t="str">
        <x:v>Genus</x:v>
      </x:c>
      <x:c r="S2" t="n">
        <x:v>0.7614814814814815</x:v>
      </x:c>
      <x:c r="T2" t="n">
        <x:v>0.9261039458497726</x:v>
      </x:c>
    </x:row>
    <x:row r="3" ht="66" hidden="0" customHeight="1">
      <x:c r="A3" s="14" t="str">
        <x:v>Input database</x:v>
      </x:c>
      <x:c r="B3" s="15" t="str">
        <x:v>prey_energy_db.xlsx / EnergyDB_Final</x:v>
      </x:c>
      <x:c r="R3" t="str">
        <x:v>Family</x:v>
      </x:c>
      <x:c r="S3" t="n">
        <x:v>1.0861333333333332</x:v>
      </x:c>
      <x:c r="T3" t="n">
        <x:v>1.532375062878972</x:v>
      </x:c>
    </x:row>
    <x:row r="4" ht="26.399999618530273" hidden="0" customHeight="1">
      <x:c r="A4" s="14" t="str">
        <x:v>Database records</x:v>
      </x:c>
      <x:c r="B4" s="15" t="n">
        <x:v>187</x:v>
      </x:c>
      <x:c r="R4" t="str">
        <x:v>Ecological proxy</x:v>
      </x:c>
      <x:c r="S4" t="n">
        <x:v>1.0911344537815126</x:v>
      </x:c>
      <x:c r="T4" t="n">
        <x:v>1.4891225350419446</x:v>
      </x:c>
    </x:row>
    <x:row r="5" ht="39.599998474121094" hidden="0" customHeight="1">
      <x:c r="A5" s="14" t="str">
        <x:v>Lookup_Defaults entries</x:v>
      </x:c>
      <x:c r="B5" s="15" t="n">
        <x:v>384</x:v>
      </x:c>
      <x:c r="R5" t="str">
        <x:v>Broad</x:v>
      </x:c>
      <x:c r="S5" t="n">
        <x:v>1.0273228346456693</x:v>
      </x:c>
      <x:c r="T5" t="n">
        <x:v>1.4261868934743827</x:v>
      </x:c>
    </x:row>
    <x:row r="6" ht="66" hidden="0" customHeight="1">
      <x:c r="A6" s="14" t="str">
        <x:v>Lookup reconstruction agreement</x:v>
      </x:c>
      <x:c r="B6" s="15" t="str">
        <x:v>384 / 384 (100%)</x:v>
      </x:c>
    </x:row>
    <x:row r="7" ht="66" hidden="0" customHeight="1">
      <x:c r="A7" s="14" t="str">
        <x:v>Eligible species-specific target taxa</x:v>
      </x:c>
      <x:c r="B7" s="15" t="n">
        <x:v>128</x:v>
      </x:c>
    </x:row>
    <x:row r="8" ht="79.19999694824219" hidden="0" customHeight="1">
      <x:c r="A8" s="14" t="str">
        <x:v>Validation design</x:v>
      </x:c>
      <x:c r="B8" s="15" t="str">
        <x:v>Leave one target taxon out; rebuild all lookup levels</x:v>
      </x:c>
      <x:c r="R8" t="str">
        <x:v>Level</x:v>
      </x:c>
      <x:c r="S8" t="str">
        <x:v>MAE</x:v>
      </x:c>
      <x:c r="T8" t="str">
        <x:v>RMSE</x:v>
      </x:c>
    </x:row>
    <x:row r="9">
      <x:c r="R9" t="str">
        <x:v>Genus</x:v>
      </x:c>
      <x:c r="S9" t="n">
        <x:v>0.7614814814814815</x:v>
      </x:c>
      <x:c r="T9" t="n">
        <x:v>0.9261039458497726</x:v>
      </x:c>
    </x:row>
    <x:row r="10" ht="26.399999618530273" hidden="0" customHeight="1">
      <x:c r="A10" s="21" t="str">
        <x:v>Forced level</x:v>
      </x:c>
      <x:c r="B10" s="21" t="str">
        <x:v>n</x:v>
      </x:c>
      <x:c r="C10" s="21" t="str">
        <x:v>Coverage (%)</x:v>
      </x:c>
      <x:c r="D10" s="21" t="str">
        <x:v>MAE (kJ/g)</x:v>
      </x:c>
      <x:c r="E10" s="21" t="str">
        <x:v>RMSE (kJ/g)</x:v>
      </x:c>
      <x:c r="F10" s="21" t="str">
        <x:v>MAPE (%)</x:v>
      </x:c>
      <x:c r="G10" s="21" t="str">
        <x:v>Bias (kJ/g)</x:v>
      </x:c>
      <x:c r="H10" s="21" t="str">
        <x:v>Median AE (kJ/g)</x:v>
      </x:c>
      <x:c r="R10" t="str">
        <x:v>Family</x:v>
      </x:c>
      <x:c r="S10" t="n">
        <x:v>0.7820370370370371</x:v>
      </x:c>
      <x:c r="T10" t="n">
        <x:v>0.972476316002187</x:v>
      </x:c>
    </x:row>
    <x:row r="11" ht="15" hidden="0" customHeight="1">
      <x:c r="A11" t="str">
        <x:v>Genus</x:v>
      </x:c>
      <x:c r="B11" s="26" t="n">
        <x:v>27</x:v>
      </x:c>
      <x:c r="C11" s="28" t="n">
        <x:v>21.09375</x:v>
      </x:c>
      <x:c r="D11" s="28" t="n">
        <x:v>0.7614814814814815</x:v>
      </x:c>
      <x:c r="E11" s="28" t="n">
        <x:v>0.9261039458497726</x:v>
      </x:c>
      <x:c r="F11" s="28" t="n">
        <x:v>14.681342116888835</x:v>
      </x:c>
      <x:c r="G11" s="28" t="n">
        <x:v>0</x:v>
      </x:c>
      <x:c r="H11" s="28" t="n">
        <x:v>0.625</x:v>
      </x:c>
      <x:c r="R11" t="str">
        <x:v>Ecological proxy</x:v>
      </x:c>
      <x:c r="S11" t="n">
        <x:v>0.8918518518518517</x:v>
      </x:c>
      <x:c r="T11" t="n">
        <x:v>1.0037771259191546</x:v>
      </x:c>
    </x:row>
    <x:row r="12" ht="15" hidden="0" customHeight="1">
      <x:c r="A12" t="str">
        <x:v>Family</x:v>
      </x:c>
      <x:c r="B12" s="26" t="n">
        <x:v>75</x:v>
      </x:c>
      <x:c r="C12" s="28" t="n">
        <x:v>58.59375</x:v>
      </x:c>
      <x:c r="D12" s="28" t="n">
        <x:v>1.0861333333333332</x:v>
      </x:c>
      <x:c r="E12" s="28" t="n">
        <x:v>1.532375062878972</x:v>
      </x:c>
      <x:c r="F12" s="28" t="n">
        <x:v>18.93859258307695</x:v>
      </x:c>
      <x:c r="G12" s="28" t="n">
        <x:v>-0.21666666666666662</x:v>
      </x:c>
      <x:c r="H12" s="28" t="n">
        <x:v>0.75</x:v>
      </x:c>
      <x:c r="R12" t="str">
        <x:v>Broad</x:v>
      </x:c>
      <x:c r="S12" t="n">
        <x:v>0.702962962962963</x:v>
      </x:c>
      <x:c r="T12" t="n">
        <x:v>0.9539032872788947</x:v>
      </x:c>
    </x:row>
    <x:row r="13" ht="15" hidden="0" customHeight="1">
      <x:c r="A13" t="str">
        <x:v>Ecological proxy</x:v>
      </x:c>
      <x:c r="B13" s="26" t="n">
        <x:v>119</x:v>
      </x:c>
      <x:c r="C13" s="28" t="n">
        <x:v>92.96875</x:v>
      </x:c>
      <x:c r="D13" s="28" t="n">
        <x:v>1.0911344537815126</x:v>
      </x:c>
      <x:c r="E13" s="28" t="n">
        <x:v>1.4891225350419446</x:v>
      </x:c>
      <x:c r="F13" s="28" t="n">
        <x:v>24.202813082251495</x:v>
      </x:c>
      <x:c r="G13" s="28" t="n">
        <x:v>-0.31289915966386556</x:v>
      </x:c>
      <x:c r="H13" s="28" t="n">
        <x:v>0.8199999999999994</x:v>
      </x:c>
    </x:row>
    <x:row r="14" ht="15" hidden="0" customHeight="1">
      <x:c r="A14" t="str">
        <x:v>Broad</x:v>
      </x:c>
      <x:c r="B14" s="26" t="n">
        <x:v>127</x:v>
      </x:c>
      <x:c r="C14" s="28" t="n">
        <x:v>99.21875</x:v>
      </x:c>
      <x:c r="D14" s="28" t="n">
        <x:v>1.0273228346456693</x:v>
      </x:c>
      <x:c r="E14" s="28" t="n">
        <x:v>1.4261868934743827</x:v>
      </x:c>
      <x:c r="F14" s="28" t="n">
        <x:v>22.5350628496457</x:v>
      </x:c>
      <x:c r="G14" s="28" t="n">
        <x:v>-0.1337795275590553</x:v>
      </x:c>
      <x:c r="H14" s="28" t="n">
        <x:v>0.6399999999999997</x:v>
      </x:c>
    </x:row>
    <x:row r="15"/>
    <x:row r="16" ht="15" hidden="0" customHeight="1">
      <x:c r="A16" s="32" t="str">
        <x:v>Actual hierarchical fallback</x:v>
      </x:c>
      <x:c r="B16" s="32" t="str"/>
      <x:c r="C16" s="32" t="str"/>
      <x:c r="D16" s="32" t="str"/>
      <x:c r="E16" s="32" t="str"/>
      <x:c r="F16" s="32" t="str"/>
      <x:c r="G16" s="32" t="str"/>
      <x:c r="H16" s="32" t="str"/>
    </x:row>
    <x:row r="17" ht="15" hidden="0" customHeight="1">
      <x:c r="A17" s="37" t="str">
        <x:v>Metric</x:v>
      </x:c>
      <x:c r="B17" s="37" t="str">
        <x:v>Result</x:v>
      </x:c>
      <x:c r="D17" s="37" t="str">
        <x:v>Selected level</x:v>
      </x:c>
      <x:c r="E17" s="37" t="str">
        <x:v>n</x:v>
      </x:c>
      <x:c r="F17" s="37" t="str">
        <x:v>% of targets</x:v>
      </x:c>
    </x:row>
    <x:row r="18" ht="15" hidden="0" customHeight="1">
      <x:c r="A18" t="str">
        <x:v>n predicted</x:v>
      </x:c>
      <x:c r="B18" s="28" t="n">
        <x:v>127</x:v>
      </x:c>
      <x:c r="D18" t="str">
        <x:v>Genus</x:v>
      </x:c>
      <x:c r="E18" s="26" t="n">
        <x:v>27</x:v>
      </x:c>
      <x:c r="F18" s="40" t="n">
        <x:v>21.09375</x:v>
      </x:c>
    </x:row>
    <x:row r="19" ht="15" hidden="0" customHeight="1">
      <x:c r="A19" t="str">
        <x:v>Coverage (%)</x:v>
      </x:c>
      <x:c r="B19" s="28" t="n">
        <x:v>99.21875</x:v>
      </x:c>
      <x:c r="D19" t="str">
        <x:v>Family</x:v>
      </x:c>
      <x:c r="E19" s="26" t="n">
        <x:v>48</x:v>
      </x:c>
      <x:c r="F19" s="40" t="n">
        <x:v>37.5</x:v>
      </x:c>
    </x:row>
    <x:row r="20" ht="15" hidden="0" customHeight="1">
      <x:c r="A20" t="str">
        <x:v>MAE (kJ/g)</x:v>
      </x:c>
      <x:c r="B20" s="28" t="n">
        <x:v>1.0145669291338582</x:v>
      </x:c>
      <x:c r="D20" t="str">
        <x:v>Ecological proxy</x:v>
      </x:c>
      <x:c r="E20" s="26" t="n">
        <x:v>44</x:v>
      </x:c>
      <x:c r="F20" s="40" t="n">
        <x:v>34.375</x:v>
      </x:c>
    </x:row>
    <x:row r="21" ht="15" hidden="0" customHeight="1">
      <x:c r="A21" t="str">
        <x:v>RMSE (kJ/g)</x:v>
      </x:c>
      <x:c r="B21" s="28" t="n">
        <x:v>1.41753279066074</x:v>
      </x:c>
      <x:c r="D21" t="str">
        <x:v>Broad</x:v>
      </x:c>
      <x:c r="E21" s="26" t="n">
        <x:v>8</x:v>
      </x:c>
      <x:c r="F21" s="40" t="n">
        <x:v>6.25</x:v>
      </x:c>
    </x:row>
    <x:row r="22" ht="15" hidden="0" customHeight="1">
      <x:c r="A22" t="str">
        <x:v>MAPE (%)</x:v>
      </x:c>
      <x:c r="B22" s="28" t="n">
        <x:v>22.058025057405583</x:v>
      </x:c>
      <x:c r="D22" t="str">
        <x:v>No fallback</x:v>
      </x:c>
      <x:c r="E22" s="26" t="n">
        <x:v>1</x:v>
      </x:c>
      <x:c r="F22" s="40" t="n">
        <x:v>0.78125</x:v>
      </x:c>
    </x:row>
    <x:row r="23"/>
    <x:row r="24"/>
    <x:row r="25" ht="15" hidden="0" customHeight="1">
      <x:c r="A25" s="43" t="str">
        <x:v>Fair comparison: taxa with all four fallback levels available (n=27)</x:v>
      </x:c>
      <x:c r="B25" s="43" t="str"/>
      <x:c r="C25" s="43" t="str"/>
      <x:c r="D25" s="43" t="str"/>
      <x:c r="E25" s="43" t="str"/>
      <x:c r="F25" s="43" t="str"/>
    </x:row>
    <x:row r="26" ht="15" hidden="0" customHeight="1">
      <x:c r="A26" s="47" t="str">
        <x:v>Level</x:v>
      </x:c>
      <x:c r="B26" s="47" t="str">
        <x:v>n</x:v>
      </x:c>
      <x:c r="C26" s="47" t="str">
        <x:v>MAE (kJ/g)</x:v>
      </x:c>
      <x:c r="D26" s="47" t="str">
        <x:v>RMSE (kJ/g)</x:v>
      </x:c>
      <x:c r="E26" s="47" t="str">
        <x:v>MAPE (%)</x:v>
      </x:c>
      <x:c r="F26" s="47" t="str">
        <x:v>Bias (kJ/g)</x:v>
      </x:c>
    </x:row>
    <x:row r="27" ht="15" hidden="0" customHeight="1">
      <x:c r="A27" t="str">
        <x:v>Genus</x:v>
      </x:c>
      <x:c r="B27" s="26" t="n">
        <x:v>27</x:v>
      </x:c>
      <x:c r="C27" s="28" t="n">
        <x:v>0.7614814814814815</x:v>
      </x:c>
      <x:c r="D27" s="28" t="n">
        <x:v>0.9261039458497726</x:v>
      </x:c>
      <x:c r="E27" s="28" t="n">
        <x:v>14.681342116888835</x:v>
      </x:c>
      <x:c r="F27" s="28" t="n">
        <x:v>0</x:v>
      </x:c>
    </x:row>
    <x:row r="28" ht="15" hidden="0" customHeight="1">
      <x:c r="A28" t="str">
        <x:v>Family</x:v>
      </x:c>
      <x:c r="B28" s="26" t="n">
        <x:v>27</x:v>
      </x:c>
      <x:c r="C28" s="28" t="n">
        <x:v>0.7820370370370371</x:v>
      </x:c>
      <x:c r="D28" s="28" t="n">
        <x:v>0.972476316002187</x:v>
      </x:c>
      <x:c r="E28" s="28" t="n">
        <x:v>14.799626531641964</x:v>
      </x:c>
      <x:c r="F28" s="28" t="n">
        <x:v>-0.1342592592592592</x:v>
      </x:c>
    </x:row>
    <x:row r="29" ht="15" hidden="0" customHeight="1">
      <x:c r="A29" t="str">
        <x:v>Ecological proxy</x:v>
      </x:c>
      <x:c r="B29" s="26" t="n">
        <x:v>27</x:v>
      </x:c>
      <x:c r="C29" s="28" t="n">
        <x:v>0.8918518518518517</x:v>
      </x:c>
      <x:c r="D29" s="28" t="n">
        <x:v>1.0037771259191546</x:v>
      </x:c>
      <x:c r="E29" s="28" t="n">
        <x:v>16.965301782368662</x:v>
      </x:c>
      <x:c r="F29" s="28" t="n">
        <x:v>-0.1592592592592592</x:v>
      </x:c>
    </x:row>
    <x:row r="30" ht="15" hidden="0" customHeight="1">
      <x:c r="A30" t="str">
        <x:v>Broad</x:v>
      </x:c>
      <x:c r="B30" s="26" t="n">
        <x:v>27</x:v>
      </x:c>
      <x:c r="C30" s="28" t="n">
        <x:v>0.702962962962963</x:v>
      </x:c>
      <x:c r="D30" s="28" t="n">
        <x:v>0.9539032872788947</x:v>
      </x:c>
      <x:c r="E30" s="28" t="n">
        <x:v>13.031506484441664</x:v>
      </x:c>
      <x:c r="F30" s="28" t="n">
        <x:v>-0.21777777777777793</x:v>
      </x:c>
    </x:row>
    <x:row r="31"/>
    <x:row r="32"/>
    <x:row r="33">
      <x:c r="A33" s="53" t="str">
        <x:v>Preliminary interpretation: Genus-level substitution had the lowest RMSE among the full forced-level analyses, but Family/Proxy/Broad errors were not monotonically ordered. On the same 27 taxa with all levels available, Broad-level median had lower MAE/MAPE than Genus, while Genus had slightly lower RMSE. Therefore the current database does NOT yet justify claiming Exact &gt; Genus &gt; Family &gt; Proxy &gt; Broad as a universally validated accuracy order.</x:v>
      </x:c>
      <x:c r="B33" s="53"/>
      <x:c r="C33" s="53"/>
      <x:c r="D33" s="53"/>
      <x:c r="E33" s="53"/>
      <x:c r="F33" s="53"/>
      <x:c r="G33" s="53"/>
      <x:c r="H33" s="53"/>
    </x:row>
    <x:row r="34">
      <x:c r="A34" s="53"/>
      <x:c r="B34" s="53"/>
      <x:c r="C34" s="53"/>
      <x:c r="D34" s="53"/>
      <x:c r="E34" s="53"/>
      <x:c r="F34" s="53"/>
      <x:c r="G34" s="53"/>
      <x:c r="H34" s="53"/>
    </x:row>
    <x:row r="35">
      <x:c r="A35" s="53"/>
      <x:c r="B35" s="53"/>
      <x:c r="C35" s="53"/>
      <x:c r="D35" s="53"/>
      <x:c r="E35" s="53"/>
      <x:c r="F35" s="53"/>
      <x:c r="G35" s="53"/>
      <x:c r="H35" s="53"/>
    </x:row>
    <x:row r="36">
      <x:c r="A36" s="53"/>
      <x:c r="B36" s="53"/>
      <x:c r="C36" s="53"/>
      <x:c r="D36" s="53"/>
      <x:c r="E36" s="53"/>
      <x:c r="F36" s="53"/>
      <x:c r="G36" s="53"/>
      <x:c r="H36" s="53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16:H16"/>
    <x:mergeCell ref="A25:F25"/>
    <x:mergeCell ref="A33:H36"/>
  </x:mergeCells>
  <x:pageMargins left="0.7" right="0.7" top="0.75" bottom="0.75" header="0.3" footer="0.3"/>
  <x:drawing xmlns:r="http://schemas.openxmlformats.org/officeDocument/2006/relationships" r:id="R3f346748faad435a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8" hidden="0" customWidth="1"/>
    <x:col min="4" max="4" width="18" hidden="0" customWidth="1"/>
    <x:col min="5" max="5" width="32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8" hidden="0" customWidth="1"/>
  </x:cols>
  <x:sheetData>
    <x:row r="1" ht="39.599998474121094" hidden="0" customHeight="1">
      <x:c r="A1" s="72" t="str">
        <x:v>Taxon</x:v>
      </x:c>
      <x:c r="B1" s="72" t="str">
        <x:v>Observed_ED</x:v>
      </x:c>
      <x:c r="C1" s="72" t="str">
        <x:v>Genus</x:v>
      </x:c>
      <x:c r="D1" s="72" t="str">
        <x:v>Family</x:v>
      </x:c>
      <x:c r="E1" s="72" t="str">
        <x:v>Energy_proxy_group</x:v>
      </x:c>
      <x:c r="F1" s="72" t="str">
        <x:v>Broad_group</x:v>
      </x:c>
      <x:c r="G1" s="72" t="str">
        <x:v>Genus_pred</x:v>
      </x:c>
      <x:c r="H1" s="72" t="str">
        <x:v>Genus_error</x:v>
      </x:c>
      <x:c r="I1" s="72" t="str">
        <x:v>Genus_abs_error</x:v>
      </x:c>
      <x:c r="J1" s="72" t="str">
        <x:v>Genus_APE_pct</x:v>
      </x:c>
      <x:c r="K1" s="72" t="str">
        <x:v>Family_pred</x:v>
      </x:c>
      <x:c r="L1" s="72" t="str">
        <x:v>Family_error</x:v>
      </x:c>
      <x:c r="M1" s="72" t="str">
        <x:v>Family_abs_error</x:v>
      </x:c>
      <x:c r="N1" s="72" t="str">
        <x:v>Family_APE_pct</x:v>
      </x:c>
      <x:c r="O1" s="72" t="str">
        <x:v>Proxy_pred</x:v>
      </x:c>
      <x:c r="P1" s="72" t="str">
        <x:v>Proxy_error</x:v>
      </x:c>
      <x:c r="Q1" s="72" t="str">
        <x:v>Proxy_abs_error</x:v>
      </x:c>
      <x:c r="R1" s="72" t="str">
        <x:v>Proxy_APE_pct</x:v>
      </x:c>
      <x:c r="S1" s="72" t="str">
        <x:v>Broad_pred</x:v>
      </x:c>
      <x:c r="T1" s="72" t="str">
        <x:v>Broad_error</x:v>
      </x:c>
      <x:c r="U1" s="72" t="str">
        <x:v>Broad_abs_error</x:v>
      </x:c>
      <x:c r="V1" s="72" t="str">
        <x:v>Broad_APE_pct</x:v>
      </x:c>
      <x:c r="W1" s="72" t="str">
        <x:v>Selected_level</x:v>
      </x:c>
      <x:c r="X1" s="72" t="str">
        <x:v>Selected_pred</x:v>
      </x:c>
      <x:c r="Y1" s="72" t="str">
        <x:v>Selected_error</x:v>
      </x:c>
      <x:c r="Z1" s="72" t="str">
        <x:v>Selected_abs_error</x:v>
      </x:c>
      <x:c r="AA1" s="72" t="str">
        <x:v>Selected_APE_pct</x:v>
      </x:c>
      <x:c r="AB1" s="72" t="str">
        <x:v>Note</x:v>
      </x:c>
    </x:row>
    <x:row r="2" ht="66" hidden="0" customHeight="1">
      <x:c r="A2" s="80" t="str">
        <x:v>Aurelia aurita</x:v>
      </x:c>
      <x:c r="B2" s="74" t="n">
        <x:v>0.7</x:v>
      </x:c>
      <x:c r="C2" s="73" t="str">
        <x:v>Aurelia</x:v>
      </x:c>
      <x:c r="D2" s="73" t="str">
        <x:v>Ulmaridae</x:v>
      </x:c>
      <x:c r="E2" s="73" t="str">
        <x:v>Gelatinous zooplankton - cnidarians</x:v>
      </x:c>
      <x:c r="F2" s="73" t="str">
        <x:v>Cnidaria</x:v>
      </x:c>
      <x:c r="G2" s="74"/>
      <x:c r="H2" s="74" t="str">
        <x:f>IF(G2="","",G2-B2)</x:f>
      </x:c>
      <x:c r="I2" s="74" t="str">
        <x:f>IF(H2="","",ABS(H2))</x:f>
      </x:c>
      <x:c r="J2" s="75" t="str">
        <x:f>IF(I2="","",I2/B2*100)</x:f>
      </x:c>
      <x:c r="K2" s="74"/>
      <x:c r="L2" s="74" t="str">
        <x:f>IF(K2="","",K2-B2)</x:f>
      </x:c>
      <x:c r="M2" s="74" t="str">
        <x:f>IF(L2="","",ABS(L2))</x:f>
      </x:c>
      <x:c r="N2" s="75" t="str">
        <x:f>IF(M2="","",M2/B2*100)</x:f>
      </x:c>
      <x:c r="O2" s="74"/>
      <x:c r="P2" s="74" t="str">
        <x:f>IF(O2="","",O2-B2)</x:f>
      </x:c>
      <x:c r="Q2" s="74" t="str">
        <x:f>IF(P2="","",ABS(P2))</x:f>
      </x:c>
      <x:c r="R2" s="75" t="str">
        <x:f>IF(Q2="","",Q2/B2*100)</x:f>
      </x:c>
      <x:c r="S2" s="74"/>
      <x:c r="T2" s="74" t="str">
        <x:f>IF(S2="","",S2-B2)</x:f>
      </x:c>
      <x:c r="U2" s="74" t="str">
        <x:f>IF(T2="","",ABS(T2))</x:f>
      </x:c>
      <x:c r="V2" s="75" t="str">
        <x:f>IF(U2="","",U2/B2*100)</x:f>
      </x:c>
      <x:c r="W2" s="73" t="str">
        <x:f>IF(G2&lt;&gt;"","Genus",IF(K2&lt;&gt;"","Family",IF(O2&lt;&gt;"","Ecological proxy",IF(S2&lt;&gt;"","Broad","No fallback"))))</x:f>
        <x:v>No fallback</x:v>
      </x:c>
      <x:c r="X2" s="74" t="str">
        <x:f>IF(G2&lt;&gt;"",G2,IF(K2&lt;&gt;"",K2,IF(O2&lt;&gt;"",O2,IF(S2&lt;&gt;"",S2,""))))</x:f>
      </x:c>
      <x:c r="Y2" s="74" t="str">
        <x:f>IF(X2="","",X2-B2)</x:f>
      </x:c>
      <x:c r="Z2" s="74" t="str">
        <x:f>IF(Y2="","",ABS(Y2))</x:f>
      </x:c>
      <x:c r="AA2" s="75" t="str">
        <x:f>IF(Z2="","",Z2/B2*100)</x:f>
      </x:c>
      <x:c r="AB2" s="73" t="str">
        <x:v>No fallback after taxon removal</x:v>
      </x:c>
    </x:row>
    <x:row r="3" ht="52.79999923706055" hidden="0" customHeight="1">
      <x:c r="A3" s="80" t="str">
        <x:v>Meganyctiphanes norvegica</x:v>
      </x:c>
      <x:c r="B3" s="74" t="n">
        <x:v>3.9</x:v>
      </x:c>
      <x:c r="C3" s="73" t="str">
        <x:v>Meganyctiphanes</x:v>
      </x:c>
      <x:c r="D3" s="73" t="str">
        <x:v>Euphausiidae</x:v>
      </x:c>
      <x:c r="E3" s="73" t="str">
        <x:v>Pelagic planktonic euphausiids</x:v>
      </x:c>
      <x:c r="F3" s="73" t="str">
        <x:v>Crustacea</x:v>
      </x:c>
      <x:c r="G3" s="74"/>
      <x:c r="H3" s="74" t="str">
        <x:f>IF(G3="","",G3-B3)</x:f>
      </x:c>
      <x:c r="I3" s="74" t="str">
        <x:f>IF(H3="","",ABS(H3))</x:f>
      </x:c>
      <x:c r="J3" s="75" t="str">
        <x:f>IF(I3="","",I3/B3*100)</x:f>
      </x:c>
      <x:c r="K3" s="74" t="n">
        <x:v>3.73</x:v>
      </x:c>
      <x:c r="L3" s="74" t="n">
        <x:f>IF(K3="","",K3-B3)</x:f>
        <x:v>-0.16999999999999993</x:v>
      </x:c>
      <x:c r="M3" s="74" t="n">
        <x:f>IF(L3="","",ABS(L3))</x:f>
        <x:v>0.16999999999999993</x:v>
      </x:c>
      <x:c r="N3" s="75" t="n">
        <x:f>IF(M3="","",M3/B3*100)</x:f>
        <x:v>4.358974358974358</x:v>
      </x:c>
      <x:c r="O3" s="74" t="n">
        <x:v>4.22</x:v>
      </x:c>
      <x:c r="P3" s="74" t="n">
        <x:f>IF(O3="","",O3-B3)</x:f>
        <x:v>0.31999999999999984</x:v>
      </x:c>
      <x:c r="Q3" s="74" t="n">
        <x:f>IF(P3="","",ABS(P3))</x:f>
        <x:v>0.31999999999999984</x:v>
      </x:c>
      <x:c r="R3" s="75" t="n">
        <x:f>IF(Q3="","",Q3/B3*100)</x:f>
        <x:v>8.2051282051282</x:v>
      </x:c>
      <x:c r="S3" s="74" t="n">
        <x:v>3.9699999999999998</x:v>
      </x:c>
      <x:c r="T3" s="74" t="n">
        <x:f>IF(S3="","",S3-B3)</x:f>
        <x:v>0.06999999999999984</x:v>
      </x:c>
      <x:c r="U3" s="74" t="n">
        <x:f>IF(T3="","",ABS(T3))</x:f>
        <x:v>0.06999999999999984</x:v>
      </x:c>
      <x:c r="V3" s="75" t="n">
        <x:f>IF(U3="","",U3/B3*100)</x:f>
        <x:v>1.794871794871791</x:v>
      </x:c>
      <x:c r="W3" s="73" t="str">
        <x:f>IF(G3&lt;&gt;"","Genus",IF(K3&lt;&gt;"","Family",IF(O3&lt;&gt;"","Ecological proxy",IF(S3&lt;&gt;"","Broad","No fallback"))))</x:f>
        <x:v>Family</x:v>
      </x:c>
      <x:c r="X3" s="74" t="n">
        <x:f>IF(G3&lt;&gt;"",G3,IF(K3&lt;&gt;"",K3,IF(O3&lt;&gt;"",O3,IF(S3&lt;&gt;"",S3,""))))</x:f>
        <x:v>3.73</x:v>
      </x:c>
      <x:c r="Y3" s="74" t="n">
        <x:f>IF(X3="","",X3-B3)</x:f>
        <x:v>-0.16999999999999993</x:v>
      </x:c>
      <x:c r="Z3" s="74" t="n">
        <x:f>IF(Y3="","",ABS(Y3))</x:f>
        <x:v>0.16999999999999993</x:v>
      </x:c>
      <x:c r="AA3" s="75" t="n">
        <x:f>IF(Z3="","",Z3/B3*100)</x:f>
        <x:v>4.358974358974358</x:v>
      </x:c>
      <x:c r="AB3" s="73" t="str"/>
    </x:row>
    <x:row r="4" ht="52.79999923706055" hidden="0" customHeight="1">
      <x:c r="A4" s="80" t="str">
        <x:v>Acanthephyra purpurea</x:v>
      </x:c>
      <x:c r="B4" s="74" t="n">
        <x:v>5.3</x:v>
      </x:c>
      <x:c r="C4" s="73" t="str">
        <x:v>Acanthephyra</x:v>
      </x:c>
      <x:c r="D4" s="73" t="str">
        <x:v>Oplophoridae</x:v>
      </x:c>
      <x:c r="E4" s="73" t="str">
        <x:v>Decapods (ecology unspecified)</x:v>
      </x:c>
      <x:c r="F4" s="73" t="str">
        <x:v>Crustacea</x:v>
      </x:c>
      <x:c r="G4" s="74"/>
      <x:c r="H4" s="74" t="str">
        <x:f>IF(G4="","",G4-B4)</x:f>
      </x:c>
      <x:c r="I4" s="74" t="str">
        <x:f>IF(H4="","",ABS(H4))</x:f>
      </x:c>
      <x:c r="J4" s="75" t="str">
        <x:f>IF(I4="","",I4/B4*100)</x:f>
      </x:c>
      <x:c r="K4" s="74"/>
      <x:c r="L4" s="74" t="str">
        <x:f>IF(K4="","",K4-B4)</x:f>
      </x:c>
      <x:c r="M4" s="74" t="str">
        <x:f>IF(L4="","",ABS(L4))</x:f>
      </x:c>
      <x:c r="N4" s="75" t="str">
        <x:f>IF(M4="","",M4/B4*100)</x:f>
      </x:c>
      <x:c r="O4" s="74" t="n">
        <x:v>3.84</x:v>
      </x:c>
      <x:c r="P4" s="74" t="n">
        <x:f>IF(O4="","",O4-B4)</x:f>
        <x:v>-1.46</x:v>
      </x:c>
      <x:c r="Q4" s="74" t="n">
        <x:f>IF(P4="","",ABS(P4))</x:f>
        <x:v>1.46</x:v>
      </x:c>
      <x:c r="R4" s="75" t="n">
        <x:f>IF(Q4="","",Q4/B4*100)</x:f>
        <x:v>27.547169811320753</x:v>
      </x:c>
      <x:c r="S4" s="74" t="n">
        <x:v>3.87</x:v>
      </x:c>
      <x:c r="T4" s="74" t="n">
        <x:f>IF(S4="","",S4-B4)</x:f>
        <x:v>-1.4299999999999997</x:v>
      </x:c>
      <x:c r="U4" s="74" t="n">
        <x:f>IF(T4="","",ABS(T4))</x:f>
        <x:v>1.4299999999999997</x:v>
      </x:c>
      <x:c r="V4" s="75" t="n">
        <x:f>IF(U4="","",U4/B4*100)</x:f>
        <x:v>26.98113207547169</x:v>
      </x:c>
      <x:c r="W4" s="73" t="str">
        <x:f>IF(G4&lt;&gt;"","Genus",IF(K4&lt;&gt;"","Family",IF(O4&lt;&gt;"","Ecological proxy",IF(S4&lt;&gt;"","Broad","No fallback"))))</x:f>
        <x:v>Ecological proxy</x:v>
      </x:c>
      <x:c r="X4" s="74" t="n">
        <x:f>IF(G4&lt;&gt;"",G4,IF(K4&lt;&gt;"",K4,IF(O4&lt;&gt;"",O4,IF(S4&lt;&gt;"",S4,""))))</x:f>
        <x:v>3.84</x:v>
      </x:c>
      <x:c r="Y4" s="74" t="n">
        <x:f>IF(X4="","",X4-B4)</x:f>
        <x:v>-1.46</x:v>
      </x:c>
      <x:c r="Z4" s="74" t="n">
        <x:f>IF(Y4="","",ABS(Y4))</x:f>
        <x:v>1.46</x:v>
      </x:c>
      <x:c r="AA4" s="75" t="n">
        <x:f>IF(Z4="","",Z4/B4*100)</x:f>
        <x:v>27.547169811320753</x:v>
      </x:c>
      <x:c r="AB4" s="73" t="str"/>
    </x:row>
    <x:row r="5" ht="52.79999923706055" hidden="0" customHeight="1">
      <x:c r="A5" s="80" t="str">
        <x:v>Palaemon longirostris</x:v>
      </x:c>
      <x:c r="B5" s="74" t="n">
        <x:v>3.4</x:v>
      </x:c>
      <x:c r="C5" s="73" t="str">
        <x:v>Palaemon</x:v>
      </x:c>
      <x:c r="D5" s="73" t="str">
        <x:v>Palaemonidae</x:v>
      </x:c>
      <x:c r="E5" s="73" t="str">
        <x:v>Decapods (ecology unspecified)</x:v>
      </x:c>
      <x:c r="F5" s="73" t="str">
        <x:v>Crustacea</x:v>
      </x:c>
      <x:c r="G5" s="74"/>
      <x:c r="H5" s="74" t="str">
        <x:f>IF(G5="","",G5-B5)</x:f>
      </x:c>
      <x:c r="I5" s="74" t="str">
        <x:f>IF(H5="","",ABS(H5))</x:f>
      </x:c>
      <x:c r="J5" s="75" t="str">
        <x:f>IF(I5="","",I5/B5*100)</x:f>
      </x:c>
      <x:c r="K5" s="74"/>
      <x:c r="L5" s="74" t="str">
        <x:f>IF(K5="","",K5-B5)</x:f>
      </x:c>
      <x:c r="M5" s="74" t="str">
        <x:f>IF(L5="","",ABS(L5))</x:f>
      </x:c>
      <x:c r="N5" s="75" t="str">
        <x:f>IF(M5="","",M5/B5*100)</x:f>
      </x:c>
      <x:c r="O5" s="74" t="n">
        <x:v>4.1</x:v>
      </x:c>
      <x:c r="P5" s="74" t="n">
        <x:f>IF(O5="","",O5-B5)</x:f>
        <x:v>0.6999999999999997</x:v>
      </x:c>
      <x:c r="Q5" s="74" t="n">
        <x:f>IF(P5="","",ABS(P5))</x:f>
        <x:v>0.6999999999999997</x:v>
      </x:c>
      <x:c r="R5" s="75" t="n">
        <x:f>IF(Q5="","",Q5/B5*100)</x:f>
        <x:v>20.58823529411764</x:v>
      </x:c>
      <x:c r="S5" s="74" t="n">
        <x:v>4</x:v>
      </x:c>
      <x:c r="T5" s="74" t="n">
        <x:f>IF(S5="","",S5-B5)</x:f>
        <x:v>0.6000000000000001</x:v>
      </x:c>
      <x:c r="U5" s="74" t="n">
        <x:f>IF(T5="","",ABS(T5))</x:f>
        <x:v>0.6000000000000001</x:v>
      </x:c>
      <x:c r="V5" s="75" t="n">
        <x:f>IF(U5="","",U5/B5*100)</x:f>
        <x:v>17.647058823529417</x:v>
      </x:c>
      <x:c r="W5" s="73" t="str">
        <x:f>IF(G5&lt;&gt;"","Genus",IF(K5&lt;&gt;"","Family",IF(O5&lt;&gt;"","Ecological proxy",IF(S5&lt;&gt;"","Broad","No fallback"))))</x:f>
        <x:v>Ecological proxy</x:v>
      </x:c>
      <x:c r="X5" s="74" t="n">
        <x:f>IF(G5&lt;&gt;"",G5,IF(K5&lt;&gt;"",K5,IF(O5&lt;&gt;"",O5,IF(S5&lt;&gt;"",S5,""))))</x:f>
        <x:v>4.1</x:v>
      </x:c>
      <x:c r="Y5" s="74" t="n">
        <x:f>IF(X5="","",X5-B5)</x:f>
        <x:v>0.6999999999999997</x:v>
      </x:c>
      <x:c r="Z5" s="74" t="n">
        <x:f>IF(Y5="","",ABS(Y5))</x:f>
        <x:v>0.6999999999999997</x:v>
      </x:c>
      <x:c r="AA5" s="75" t="n">
        <x:f>IF(Z5="","",Z5/B5*100)</x:f>
        <x:v>20.58823529411764</x:v>
      </x:c>
      <x:c r="AB5" s="73" t="str"/>
    </x:row>
    <x:row r="6" ht="52.79999923706055" hidden="0" customHeight="1">
      <x:c r="A6" s="80" t="str">
        <x:v>Pasiphaea sivado</x:v>
      </x:c>
      <x:c r="B6" s="74" t="n">
        <x:v>4.1</x:v>
      </x:c>
      <x:c r="C6" s="73" t="str">
        <x:v>Pasiphaea</x:v>
      </x:c>
      <x:c r="D6" s="73" t="str">
        <x:v>Pasiphaeidae</x:v>
      </x:c>
      <x:c r="E6" s="73" t="str">
        <x:v>Decapods (ecology unspecified)</x:v>
      </x:c>
      <x:c r="F6" s="73" t="str">
        <x:v>Crustacea</x:v>
      </x:c>
      <x:c r="G6" s="74"/>
      <x:c r="H6" s="74" t="str">
        <x:f>IF(G6="","",G6-B6)</x:f>
      </x:c>
      <x:c r="I6" s="74" t="str">
        <x:f>IF(H6="","",ABS(H6))</x:f>
      </x:c>
      <x:c r="J6" s="75" t="str">
        <x:f>IF(I6="","",I6/B6*100)</x:f>
      </x:c>
      <x:c r="K6" s="74"/>
      <x:c r="L6" s="74" t="str">
        <x:f>IF(K6="","",K6-B6)</x:f>
      </x:c>
      <x:c r="M6" s="74" t="str">
        <x:f>IF(L6="","",ABS(L6))</x:f>
      </x:c>
      <x:c r="N6" s="75" t="str">
        <x:f>IF(M6="","",M6/B6*100)</x:f>
      </x:c>
      <x:c r="O6" s="74" t="n">
        <x:v>3.84</x:v>
      </x:c>
      <x:c r="P6" s="74" t="n">
        <x:f>IF(O6="","",O6-B6)</x:f>
        <x:v>-0.2599999999999998</x:v>
      </x:c>
      <x:c r="Q6" s="74" t="n">
        <x:f>IF(P6="","",ABS(P6))</x:f>
        <x:v>0.2599999999999998</x:v>
      </x:c>
      <x:c r="R6" s="75" t="n">
        <x:f>IF(Q6="","",Q6/B6*100)</x:f>
        <x:v>6.341463414634142</x:v>
      </x:c>
      <x:c r="S6" s="74" t="n">
        <x:v>3.87</x:v>
      </x:c>
      <x:c r="T6" s="74" t="n">
        <x:f>IF(S6="","",S6-B6)</x:f>
        <x:v>-0.22999999999999954</x:v>
      </x:c>
      <x:c r="U6" s="74" t="n">
        <x:f>IF(T6="","",ABS(T6))</x:f>
        <x:v>0.22999999999999954</x:v>
      </x:c>
      <x:c r="V6" s="75" t="n">
        <x:f>IF(U6="","",U6/B6*100)</x:f>
        <x:v>5.609756097560965</x:v>
      </x:c>
      <x:c r="W6" s="73" t="str">
        <x:f>IF(G6&lt;&gt;"","Genus",IF(K6&lt;&gt;"","Family",IF(O6&lt;&gt;"","Ecological proxy",IF(S6&lt;&gt;"","Broad","No fallback"))))</x:f>
        <x:v>Ecological proxy</x:v>
      </x:c>
      <x:c r="X6" s="74" t="n">
        <x:f>IF(G6&lt;&gt;"",G6,IF(K6&lt;&gt;"",K6,IF(O6&lt;&gt;"",O6,IF(S6&lt;&gt;"",S6,""))))</x:f>
        <x:v>3.84</x:v>
      </x:c>
      <x:c r="Y6" s="74" t="n">
        <x:f>IF(X6="","",X6-B6)</x:f>
        <x:v>-0.2599999999999998</x:v>
      </x:c>
      <x:c r="Z6" s="74" t="n">
        <x:f>IF(Y6="","",ABS(Y6))</x:f>
        <x:v>0.2599999999999998</x:v>
      </x:c>
      <x:c r="AA6" s="75" t="n">
        <x:f>IF(Z6="","",Z6/B6*100)</x:f>
        <x:v>6.341463414634142</x:v>
      </x:c>
      <x:c r="AB6" s="73" t="str"/>
    </x:row>
    <x:row r="7" ht="52.79999923706055" hidden="0" customHeight="1">
      <x:c r="A7" s="80" t="str">
        <x:v>Pachygrapsus marmoratus</x:v>
      </x:c>
      <x:c r="B7" s="74" t="n">
        <x:v>5.8</x:v>
      </x:c>
      <x:c r="C7" s="73" t="str">
        <x:v>Pachygrapsus</x:v>
      </x:c>
      <x:c r="D7" s="73" t="str">
        <x:v>Grapsidae</x:v>
      </x:c>
      <x:c r="E7" s="73" t="str">
        <x:v>Benthic decapods</x:v>
      </x:c>
      <x:c r="F7" s="73" t="str">
        <x:v>Crustacea</x:v>
      </x:c>
      <x:c r="G7" s="74"/>
      <x:c r="H7" s="74" t="str">
        <x:f>IF(G7="","",G7-B7)</x:f>
      </x:c>
      <x:c r="I7" s="74" t="str">
        <x:f>IF(H7="","",ABS(H7))</x:f>
      </x:c>
      <x:c r="J7" s="75" t="str">
        <x:f>IF(I7="","",I7/B7*100)</x:f>
      </x:c>
      <x:c r="K7" s="74"/>
      <x:c r="L7" s="74" t="str">
        <x:f>IF(K7="","",K7-B7)</x:f>
      </x:c>
      <x:c r="M7" s="74" t="str">
        <x:f>IF(L7="","",ABS(L7))</x:f>
      </x:c>
      <x:c r="N7" s="75" t="str">
        <x:f>IF(M7="","",M7/B7*100)</x:f>
      </x:c>
      <x:c r="O7" s="74" t="n">
        <x:v>3.07</x:v>
      </x:c>
      <x:c r="P7" s="74" t="n">
        <x:f>IF(O7="","",O7-B7)</x:f>
        <x:v>-2.73</x:v>
      </x:c>
      <x:c r="Q7" s="74" t="n">
        <x:f>IF(P7="","",ABS(P7))</x:f>
        <x:v>2.73</x:v>
      </x:c>
      <x:c r="R7" s="75" t="n">
        <x:f>IF(Q7="","",Q7/B7*100)</x:f>
        <x:v>47.06896551724138</x:v>
      </x:c>
      <x:c r="S7" s="74" t="n">
        <x:v>3.87</x:v>
      </x:c>
      <x:c r="T7" s="74" t="n">
        <x:f>IF(S7="","",S7-B7)</x:f>
        <x:v>-1.9299999999999997</x:v>
      </x:c>
      <x:c r="U7" s="74" t="n">
        <x:f>IF(T7="","",ABS(T7))</x:f>
        <x:v>1.9299999999999997</x:v>
      </x:c>
      <x:c r="V7" s="75" t="n">
        <x:f>IF(U7="","",U7/B7*100)</x:f>
        <x:v>33.27586206896551</x:v>
      </x:c>
      <x:c r="W7" s="73" t="str">
        <x:f>IF(G7&lt;&gt;"","Genus",IF(K7&lt;&gt;"","Family",IF(O7&lt;&gt;"","Ecological proxy",IF(S7&lt;&gt;"","Broad","No fallback"))))</x:f>
        <x:v>Ecological proxy</x:v>
      </x:c>
      <x:c r="X7" s="74" t="n">
        <x:f>IF(G7&lt;&gt;"",G7,IF(K7&lt;&gt;"",K7,IF(O7&lt;&gt;"",O7,IF(S7&lt;&gt;"",S7,""))))</x:f>
        <x:v>3.07</x:v>
      </x:c>
      <x:c r="Y7" s="74" t="n">
        <x:f>IF(X7="","",X7-B7)</x:f>
        <x:v>-2.73</x:v>
      </x:c>
      <x:c r="Z7" s="74" t="n">
        <x:f>IF(Y7="","",ABS(Y7))</x:f>
        <x:v>2.73</x:v>
      </x:c>
      <x:c r="AA7" s="75" t="n">
        <x:f>IF(Z7="","",Z7/B7*100)</x:f>
        <x:v>47.06896551724138</x:v>
      </x:c>
      <x:c r="AB7" s="73" t="str"/>
    </x:row>
    <x:row r="8" ht="26.399999618530273" hidden="0" customHeight="1">
      <x:c r="A8" s="80" t="str">
        <x:v>Polybius henslowii</x:v>
      </x:c>
      <x:c r="B8" s="74" t="n">
        <x:v>4.2</x:v>
      </x:c>
      <x:c r="C8" s="73" t="str">
        <x:v>Polybius</x:v>
      </x:c>
      <x:c r="D8" s="73" t="str">
        <x:v>Portunidae</x:v>
      </x:c>
      <x:c r="E8" s="73" t="str">
        <x:v>Benthic decapods</x:v>
      </x:c>
      <x:c r="F8" s="73" t="str">
        <x:v>Crustacea</x:v>
      </x:c>
      <x:c r="G8" s="74"/>
      <x:c r="H8" s="74" t="str">
        <x:f>IF(G8="","",G8-B8)</x:f>
      </x:c>
      <x:c r="I8" s="74" t="str">
        <x:f>IF(H8="","",ABS(H8))</x:f>
      </x:c>
      <x:c r="J8" s="75" t="str">
        <x:f>IF(I8="","",I8/B8*100)</x:f>
      </x:c>
      <x:c r="K8" s="74" t="n">
        <x:v>6.9</x:v>
      </x:c>
      <x:c r="L8" s="74" t="n">
        <x:f>IF(K8="","",K8-B8)</x:f>
        <x:v>2.7</x:v>
      </x:c>
      <x:c r="M8" s="74" t="n">
        <x:f>IF(L8="","",ABS(L8))</x:f>
        <x:v>2.7</x:v>
      </x:c>
      <x:c r="N8" s="75" t="n">
        <x:f>IF(M8="","",M8/B8*100)</x:f>
        <x:v>64.28571428571429</x:v>
      </x:c>
      <x:c r="O8" s="74" t="n">
        <x:v>3.07</x:v>
      </x:c>
      <x:c r="P8" s="74" t="n">
        <x:f>IF(O8="","",O8-B8)</x:f>
        <x:v>-1.1300000000000003</x:v>
      </x:c>
      <x:c r="Q8" s="74" t="n">
        <x:f>IF(P8="","",ABS(P8))</x:f>
        <x:v>1.1300000000000003</x:v>
      </x:c>
      <x:c r="R8" s="75" t="n">
        <x:f>IF(Q8="","",Q8/B8*100)</x:f>
        <x:v>26.90476190476191</x:v>
      </x:c>
      <x:c r="S8" s="74" t="n">
        <x:v>3.87</x:v>
      </x:c>
      <x:c r="T8" s="74" t="n">
        <x:f>IF(S8="","",S8-B8)</x:f>
        <x:v>-0.33000000000000007</x:v>
      </x:c>
      <x:c r="U8" s="74" t="n">
        <x:f>IF(T8="","",ABS(T8))</x:f>
        <x:v>0.33000000000000007</x:v>
      </x:c>
      <x:c r="V8" s="75" t="n">
        <x:f>IF(U8="","",U8/B8*100)</x:f>
        <x:v>7.8571428571428585</x:v>
      </x:c>
      <x:c r="W8" s="73" t="str">
        <x:f>IF(G8&lt;&gt;"","Genus",IF(K8&lt;&gt;"","Family",IF(O8&lt;&gt;"","Ecological proxy",IF(S8&lt;&gt;"","Broad","No fallback"))))</x:f>
        <x:v>Family</x:v>
      </x:c>
      <x:c r="X8" s="74" t="n">
        <x:f>IF(G8&lt;&gt;"",G8,IF(K8&lt;&gt;"",K8,IF(O8&lt;&gt;"",O8,IF(S8&lt;&gt;"",S8,""))))</x:f>
        <x:v>6.9</x:v>
      </x:c>
      <x:c r="Y8" s="74" t="n">
        <x:f>IF(X8="","",X8-B8)</x:f>
        <x:v>2.7</x:v>
      </x:c>
      <x:c r="Z8" s="74" t="n">
        <x:f>IF(Y8="","",ABS(Y8))</x:f>
        <x:v>2.7</x:v>
      </x:c>
      <x:c r="AA8" s="75" t="n">
        <x:f>IF(Z8="","",Z8/B8*100)</x:f>
        <x:v>64.28571428571429</x:v>
      </x:c>
      <x:c r="AB8" s="73" t="str"/>
    </x:row>
    <x:row r="9" ht="26.399999618530273" hidden="0" customHeight="1">
      <x:c r="A9" s="80" t="str">
        <x:v>Necora puber</x:v>
      </x:c>
      <x:c r="B9" s="74" t="n">
        <x:v>6.9</x:v>
      </x:c>
      <x:c r="C9" s="73" t="str">
        <x:v>Necora</x:v>
      </x:c>
      <x:c r="D9" s="73" t="str">
        <x:v>Portunidae</x:v>
      </x:c>
      <x:c r="E9" s="73" t="str">
        <x:v>Benthic decapods</x:v>
      </x:c>
      <x:c r="F9" s="73" t="str">
        <x:v>Crustacea</x:v>
      </x:c>
      <x:c r="G9" s="74"/>
      <x:c r="H9" s="74" t="str">
        <x:f>IF(G9="","",G9-B9)</x:f>
      </x:c>
      <x:c r="I9" s="74" t="str">
        <x:f>IF(H9="","",ABS(H9))</x:f>
      </x:c>
      <x:c r="J9" s="75" t="str">
        <x:f>IF(I9="","",I9/B9*100)</x:f>
      </x:c>
      <x:c r="K9" s="74" t="n">
        <x:v>4.2</x:v>
      </x:c>
      <x:c r="L9" s="74" t="n">
        <x:f>IF(K9="","",K9-B9)</x:f>
        <x:v>-2.7</x:v>
      </x:c>
      <x:c r="M9" s="74" t="n">
        <x:f>IF(L9="","",ABS(L9))</x:f>
        <x:v>2.7</x:v>
      </x:c>
      <x:c r="N9" s="75" t="n">
        <x:f>IF(M9="","",M9/B9*100)</x:f>
        <x:v>39.130434782608695</x:v>
      </x:c>
      <x:c r="O9" s="74" t="n">
        <x:v>3.07</x:v>
      </x:c>
      <x:c r="P9" s="74" t="n">
        <x:f>IF(O9="","",O9-B9)</x:f>
        <x:v>-3.8300000000000005</x:v>
      </x:c>
      <x:c r="Q9" s="74" t="n">
        <x:f>IF(P9="","",ABS(P9))</x:f>
        <x:v>3.8300000000000005</x:v>
      </x:c>
      <x:c r="R9" s="75" t="n">
        <x:f>IF(Q9="","",Q9/B9*100)</x:f>
        <x:v>55.5072463768116</x:v>
      </x:c>
      <x:c r="S9" s="74" t="n">
        <x:v>3.87</x:v>
      </x:c>
      <x:c r="T9" s="74" t="n">
        <x:f>IF(S9="","",S9-B9)</x:f>
        <x:v>-3.0300000000000002</x:v>
      </x:c>
      <x:c r="U9" s="74" t="n">
        <x:f>IF(T9="","",ABS(T9))</x:f>
        <x:v>3.0300000000000002</x:v>
      </x:c>
      <x:c r="V9" s="75" t="n">
        <x:f>IF(U9="","",U9/B9*100)</x:f>
        <x:v>43.913043478260875</x:v>
      </x:c>
      <x:c r="W9" s="73" t="str">
        <x:f>IF(G9&lt;&gt;"","Genus",IF(K9&lt;&gt;"","Family",IF(O9&lt;&gt;"","Ecological proxy",IF(S9&lt;&gt;"","Broad","No fallback"))))</x:f>
        <x:v>Family</x:v>
      </x:c>
      <x:c r="X9" s="74" t="n">
        <x:f>IF(G9&lt;&gt;"",G9,IF(K9&lt;&gt;"",K9,IF(O9&lt;&gt;"",O9,IF(S9&lt;&gt;"",S9,""))))</x:f>
        <x:v>4.2</x:v>
      </x:c>
      <x:c r="Y9" s="74" t="n">
        <x:f>IF(X9="","",X9-B9)</x:f>
        <x:v>-2.7</x:v>
      </x:c>
      <x:c r="Z9" s="74" t="n">
        <x:f>IF(Y9="","",ABS(Y9))</x:f>
        <x:v>2.7</x:v>
      </x:c>
      <x:c r="AA9" s="75" t="n">
        <x:f>IF(Z9="","",Z9/B9*100)</x:f>
        <x:v>39.130434782608695</x:v>
      </x:c>
      <x:c r="AB9" s="73" t="str"/>
    </x:row>
    <x:row r="10" ht="26.399999618530273" hidden="0" customHeight="1">
      <x:c r="A10" s="80" t="str">
        <x:v>Loligo forbesi</x:v>
      </x:c>
      <x:c r="B10" s="74" t="n">
        <x:v>4.6</x:v>
      </x:c>
      <x:c r="C10" s="73" t="str">
        <x:v>Loligo</x:v>
      </x:c>
      <x:c r="D10" s="73" t="str">
        <x:v>Loliginidae</x:v>
      </x:c>
      <x:c r="E10" s="73" t="str">
        <x:v>Pelagic squids</x:v>
      </x:c>
      <x:c r="F10" s="73" t="str">
        <x:v>Cephalopoda</x:v>
      </x:c>
      <x:c r="G10" s="74" t="n">
        <x:v>4.8</x:v>
      </x:c>
      <x:c r="H10" s="74" t="n">
        <x:f>IF(G10="","",G10-B10)</x:f>
        <x:v>0.20000000000000018</x:v>
      </x:c>
      <x:c r="I10" s="74" t="n">
        <x:f>IF(H10="","",ABS(H10))</x:f>
        <x:v>0.20000000000000018</x:v>
      </x:c>
      <x:c r="J10" s="75" t="n">
        <x:f>IF(I10="","",I10/B10*100)</x:f>
        <x:v>4.347826086956526</x:v>
      </x:c>
      <x:c r="K10" s="74" t="n">
        <x:v>4.824999999999999</x:v>
      </x:c>
      <x:c r="L10" s="74" t="n">
        <x:f>IF(K10="","",K10-B10)</x:f>
        <x:v>0.22499999999999964</x:v>
      </x:c>
      <x:c r="M10" s="74" t="n">
        <x:f>IF(L10="","",ABS(L10))</x:f>
        <x:v>0.22499999999999964</x:v>
      </x:c>
      <x:c r="N10" s="75" t="n">
        <x:f>IF(M10="","",M10/B10*100)</x:f>
        <x:v>4.89130434782608</x:v>
      </x:c>
      <x:c r="O10" s="74" t="n">
        <x:v>3.81</x:v>
      </x:c>
      <x:c r="P10" s="74" t="n">
        <x:f>IF(O10="","",O10-B10)</x:f>
        <x:v>-0.7899999999999996</x:v>
      </x:c>
      <x:c r="Q10" s="74" t="n">
        <x:f>IF(P10="","",ABS(P10))</x:f>
        <x:v>0.7899999999999996</x:v>
      </x:c>
      <x:c r="R10" s="75" t="n">
        <x:f>IF(Q10="","",Q10/B10*100)</x:f>
        <x:v>17.173913043478255</x:v>
      </x:c>
      <x:c r="S10" s="74" t="n">
        <x:v>4.75</x:v>
      </x:c>
      <x:c r="T10" s="74" t="n">
        <x:f>IF(S10="","",S10-B10)</x:f>
        <x:v>0.15000000000000036</x:v>
      </x:c>
      <x:c r="U10" s="74" t="n">
        <x:f>IF(T10="","",ABS(T10))</x:f>
        <x:v>0.15000000000000036</x:v>
      </x:c>
      <x:c r="V10" s="75" t="n">
        <x:f>IF(U10="","",U10/B10*100)</x:f>
        <x:v>3.2608695652173996</x:v>
      </x:c>
      <x:c r="W10" s="73" t="str">
        <x:f>IF(G10&lt;&gt;"","Genus",IF(K10&lt;&gt;"","Family",IF(O10&lt;&gt;"","Ecological proxy",IF(S10&lt;&gt;"","Broad","No fallback"))))</x:f>
        <x:v>Genus</x:v>
      </x:c>
      <x:c r="X10" s="74" t="n">
        <x:f>IF(G10&lt;&gt;"",G10,IF(K10&lt;&gt;"",K10,IF(O10&lt;&gt;"",O10,IF(S10&lt;&gt;"",S10,""))))</x:f>
        <x:v>4.8</x:v>
      </x:c>
      <x:c r="Y10" s="74" t="n">
        <x:f>IF(X10="","",X10-B10)</x:f>
        <x:v>0.20000000000000018</x:v>
      </x:c>
      <x:c r="Z10" s="74" t="n">
        <x:f>IF(Y10="","",ABS(Y10))</x:f>
        <x:v>0.20000000000000018</x:v>
      </x:c>
      <x:c r="AA10" s="75" t="n">
        <x:f>IF(Z10="","",Z10/B10*100)</x:f>
        <x:v>4.347826086956526</x:v>
      </x:c>
      <x:c r="AB10" s="73" t="str"/>
    </x:row>
    <x:row r="11" ht="26.399999618530273" hidden="0" customHeight="1">
      <x:c r="A11" s="80" t="str">
        <x:v>Loligo vulgaris</x:v>
      </x:c>
      <x:c r="B11" s="74" t="n">
        <x:v>4.8</x:v>
      </x:c>
      <x:c r="C11" s="73" t="str">
        <x:v>Loligo</x:v>
      </x:c>
      <x:c r="D11" s="73" t="str">
        <x:v>Loliginidae</x:v>
      </x:c>
      <x:c r="E11" s="73" t="str">
        <x:v>Pelagic squids</x:v>
      </x:c>
      <x:c r="F11" s="73" t="str">
        <x:v>Cephalopoda</x:v>
      </x:c>
      <x:c r="G11" s="74" t="n">
        <x:v>4.6</x:v>
      </x:c>
      <x:c r="H11" s="74" t="n">
        <x:f>IF(G11="","",G11-B11)</x:f>
        <x:v>-0.20000000000000018</x:v>
      </x:c>
      <x:c r="I11" s="74" t="n">
        <x:f>IF(H11="","",ABS(H11))</x:f>
        <x:v>0.20000000000000018</x:v>
      </x:c>
      <x:c r="J11" s="75" t="n">
        <x:f>IF(I11="","",I11/B11*100)</x:f>
        <x:v>4.1666666666666705</x:v>
      </x:c>
      <x:c r="K11" s="74" t="n">
        <x:v>4.725</x:v>
      </x:c>
      <x:c r="L11" s="74" t="n">
        <x:f>IF(K11="","",K11-B11)</x:f>
        <x:v>-0.07500000000000018</x:v>
      </x:c>
      <x:c r="M11" s="74" t="n">
        <x:f>IF(L11="","",ABS(L11))</x:f>
        <x:v>0.07500000000000018</x:v>
      </x:c>
      <x:c r="N11" s="75" t="n">
        <x:f>IF(M11="","",M11/B11*100)</x:f>
        <x:v>1.5625000000000038</x:v>
      </x:c>
      <x:c r="O11" s="74" t="n">
        <x:v>3.81</x:v>
      </x:c>
      <x:c r="P11" s="74" t="n">
        <x:f>IF(O11="","",O11-B11)</x:f>
        <x:v>-0.9899999999999998</x:v>
      </x:c>
      <x:c r="Q11" s="74" t="n">
        <x:f>IF(P11="","",ABS(P11))</x:f>
        <x:v>0.9899999999999998</x:v>
      </x:c>
      <x:c r="R11" s="75" t="n">
        <x:f>IF(Q11="","",Q11/B11*100)</x:f>
        <x:v>20.624999999999996</x:v>
      </x:c>
      <x:c r="S11" s="74" t="n">
        <x:v>4.65</x:v>
      </x:c>
      <x:c r="T11" s="74" t="n">
        <x:f>IF(S11="","",S11-B11)</x:f>
        <x:v>-0.14999999999999947</x:v>
      </x:c>
      <x:c r="U11" s="74" t="n">
        <x:f>IF(T11="","",ABS(T11))</x:f>
        <x:v>0.14999999999999947</x:v>
      </x:c>
      <x:c r="V11" s="75" t="n">
        <x:f>IF(U11="","",U11/B11*100)</x:f>
        <x:v>3.124999999999989</x:v>
      </x:c>
      <x:c r="W11" s="73" t="str">
        <x:f>IF(G11&lt;&gt;"","Genus",IF(K11&lt;&gt;"","Family",IF(O11&lt;&gt;"","Ecological proxy",IF(S11&lt;&gt;"","Broad","No fallback"))))</x:f>
        <x:v>Genus</x:v>
      </x:c>
      <x:c r="X11" s="74" t="n">
        <x:f>IF(G11&lt;&gt;"",G11,IF(K11&lt;&gt;"",K11,IF(O11&lt;&gt;"",O11,IF(S11&lt;&gt;"",S11,""))))</x:f>
        <x:v>4.6</x:v>
      </x:c>
      <x:c r="Y11" s="74" t="n">
        <x:f>IF(X11="","",X11-B11)</x:f>
        <x:v>-0.20000000000000018</x:v>
      </x:c>
      <x:c r="Z11" s="74" t="n">
        <x:f>IF(Y11="","",ABS(Y11))</x:f>
        <x:v>0.20000000000000018</x:v>
      </x:c>
      <x:c r="AA11" s="75" t="n">
        <x:f>IF(Z11="","",Z11/B11*100)</x:f>
        <x:v>4.1666666666666705</x:v>
      </x:c>
      <x:c r="AB11" s="73" t="str"/>
    </x:row>
    <x:row r="12" ht="26.399999618530273" hidden="0" customHeight="1">
      <x:c r="A12" s="80" t="str">
        <x:v>Illex coindeti</x:v>
      </x:c>
      <x:c r="B12" s="74" t="n">
        <x:v>4.3</x:v>
      </x:c>
      <x:c r="C12" s="73" t="str">
        <x:v>Illex</x:v>
      </x:c>
      <x:c r="D12" s="73" t="str">
        <x:v>Ommastrephidae</x:v>
      </x:c>
      <x:c r="E12" s="73" t="str">
        <x:v>Pelagic squids</x:v>
      </x:c>
      <x:c r="F12" s="73" t="str">
        <x:v>Cephalopoda</x:v>
      </x:c>
      <x:c r="G12" s="74" t="n">
        <x:v>5.45</x:v>
      </x:c>
      <x:c r="H12" s="74" t="n">
        <x:f>IF(G12="","",G12-B12)</x:f>
        <x:v>1.1500000000000004</x:v>
      </x:c>
      <x:c r="I12" s="74" t="n">
        <x:f>IF(H12="","",ABS(H12))</x:f>
        <x:v>1.1500000000000004</x:v>
      </x:c>
      <x:c r="J12" s="75" t="n">
        <x:f>IF(I12="","",I12/B12*100)</x:f>
        <x:v>26.744186046511636</x:v>
      </x:c>
      <x:c r="K12" s="74" t="n">
        <x:v>4.925000000000001</x:v>
      </x:c>
      <x:c r="L12" s="74" t="n">
        <x:f>IF(K12="","",K12-B12)</x:f>
        <x:v>0.6250000000000009</x:v>
      </x:c>
      <x:c r="M12" s="74" t="n">
        <x:f>IF(L12="","",ABS(L12))</x:f>
        <x:v>0.6250000000000009</x:v>
      </x:c>
      <x:c r="N12" s="75" t="n">
        <x:f>IF(M12="","",M12/B12*100)</x:f>
        <x:v>14.534883720930253</x:v>
      </x:c>
      <x:c r="O12" s="74" t="n">
        <x:v>3.81</x:v>
      </x:c>
      <x:c r="P12" s="74" t="n">
        <x:f>IF(O12="","",O12-B12)</x:f>
        <x:v>-0.48999999999999977</x:v>
      </x:c>
      <x:c r="Q12" s="74" t="n">
        <x:f>IF(P12="","",ABS(P12))</x:f>
        <x:v>0.48999999999999977</x:v>
      </x:c>
      <x:c r="R12" s="75" t="n">
        <x:f>IF(Q12="","",Q12/B12*100)</x:f>
        <x:v>11.395348837209298</x:v>
      </x:c>
      <x:c r="S12" s="74" t="n">
        <x:v>4.75</x:v>
      </x:c>
      <x:c r="T12" s="74" t="n">
        <x:f>IF(S12="","",S12-B12)</x:f>
        <x:v>0.4500000000000002</x:v>
      </x:c>
      <x:c r="U12" s="74" t="n">
        <x:f>IF(T12="","",ABS(T12))</x:f>
        <x:v>0.4500000000000002</x:v>
      </x:c>
      <x:c r="V12" s="75" t="n">
        <x:f>IF(U12="","",U12/B12*100)</x:f>
        <x:v>10.465116279069772</x:v>
      </x:c>
      <x:c r="W12" s="73" t="str">
        <x:f>IF(G12&lt;&gt;"","Genus",IF(K12&lt;&gt;"","Family",IF(O12&lt;&gt;"","Ecological proxy",IF(S12&lt;&gt;"","Broad","No fallback"))))</x:f>
        <x:v>Genus</x:v>
      </x:c>
      <x:c r="X12" s="74" t="n">
        <x:f>IF(G12&lt;&gt;"",G12,IF(K12&lt;&gt;"",K12,IF(O12&lt;&gt;"",O12,IF(S12&lt;&gt;"",S12,""))))</x:f>
        <x:v>5.45</x:v>
      </x:c>
      <x:c r="Y12" s="74" t="n">
        <x:f>IF(X12="","",X12-B12)</x:f>
        <x:v>1.1500000000000004</x:v>
      </x:c>
      <x:c r="Z12" s="74" t="n">
        <x:f>IF(Y12="","",ABS(Y12))</x:f>
        <x:v>1.1500000000000004</x:v>
      </x:c>
      <x:c r="AA12" s="75" t="n">
        <x:f>IF(Z12="","",Z12/B12*100)</x:f>
        <x:v>26.744186046511636</x:v>
      </x:c>
      <x:c r="AB12" s="73" t="str"/>
    </x:row>
    <x:row r="13" ht="26.399999618530273" hidden="0" customHeight="1">
      <x:c r="A13" s="80" t="str">
        <x:v>Todaropsis eblanae</x:v>
      </x:c>
      <x:c r="B13" s="74" t="n">
        <x:v>4.4</x:v>
      </x:c>
      <x:c r="C13" s="73" t="str">
        <x:v>Todaropsis</x:v>
      </x:c>
      <x:c r="D13" s="73" t="str">
        <x:v>Ommastrephidae</x:v>
      </x:c>
      <x:c r="E13" s="73" t="str">
        <x:v>Pelagic squids</x:v>
      </x:c>
      <x:c r="F13" s="73" t="str">
        <x:v>Cephalopoda</x:v>
      </x:c>
      <x:c r="G13" s="74"/>
      <x:c r="H13" s="74" t="str">
        <x:f>IF(G13="","",G13-B13)</x:f>
      </x:c>
      <x:c r="I13" s="74" t="str">
        <x:f>IF(H13="","",ABS(H13))</x:f>
      </x:c>
      <x:c r="J13" s="75" t="str">
        <x:f>IF(I13="","",I13/B13*100)</x:f>
      </x:c>
      <x:c r="K13" s="74" t="n">
        <x:v>4.875</x:v>
      </x:c>
      <x:c r="L13" s="74" t="n">
        <x:f>IF(K13="","",K13-B13)</x:f>
        <x:v>0.47499999999999964</x:v>
      </x:c>
      <x:c r="M13" s="74" t="n">
        <x:f>IF(L13="","",ABS(L13))</x:f>
        <x:v>0.47499999999999964</x:v>
      </x:c>
      <x:c r="N13" s="75" t="n">
        <x:f>IF(M13="","",M13/B13*100)</x:f>
        <x:v>10.795454545454536</x:v>
      </x:c>
      <x:c r="O13" s="74" t="n">
        <x:v>3.81</x:v>
      </x:c>
      <x:c r="P13" s="74" t="n">
        <x:f>IF(O13="","",O13-B13)</x:f>
        <x:v>-0.5900000000000003</x:v>
      </x:c>
      <x:c r="Q13" s="74" t="n">
        <x:f>IF(P13="","",ABS(P13))</x:f>
        <x:v>0.5900000000000003</x:v>
      </x:c>
      <x:c r="R13" s="75" t="n">
        <x:f>IF(Q13="","",Q13/B13*100)</x:f>
        <x:v>13.409090909090915</x:v>
      </x:c>
      <x:c r="S13" s="74" t="n">
        <x:v>4.75</x:v>
      </x:c>
      <x:c r="T13" s="74" t="n">
        <x:f>IF(S13="","",S13-B13)</x:f>
        <x:v>0.34999999999999964</x:v>
      </x:c>
      <x:c r="U13" s="74" t="n">
        <x:f>IF(T13="","",ABS(T13))</x:f>
        <x:v>0.34999999999999964</x:v>
      </x:c>
      <x:c r="V13" s="75" t="n">
        <x:f>IF(U13="","",U13/B13*100)</x:f>
        <x:v>7.954545454545446</x:v>
      </x:c>
      <x:c r="W13" s="73" t="str">
        <x:f>IF(G13&lt;&gt;"","Genus",IF(K13&lt;&gt;"","Family",IF(O13&lt;&gt;"","Ecological proxy",IF(S13&lt;&gt;"","Broad","No fallback"))))</x:f>
        <x:v>Family</x:v>
      </x:c>
      <x:c r="X13" s="74" t="n">
        <x:f>IF(G13&lt;&gt;"",G13,IF(K13&lt;&gt;"",K13,IF(O13&lt;&gt;"",O13,IF(S13&lt;&gt;"",S13,""))))</x:f>
        <x:v>4.875</x:v>
      </x:c>
      <x:c r="Y13" s="74" t="n">
        <x:f>IF(X13="","",X13-B13)</x:f>
        <x:v>0.47499999999999964</x:v>
      </x:c>
      <x:c r="Z13" s="74" t="n">
        <x:f>IF(Y13="","",ABS(Y13))</x:f>
        <x:v>0.47499999999999964</x:v>
      </x:c>
      <x:c r="AA13" s="75" t="n">
        <x:f>IF(Z13="","",Z13/B13*100)</x:f>
        <x:v>10.795454545454536</x:v>
      </x:c>
      <x:c r="AB13" s="73" t="str"/>
    </x:row>
    <x:row r="14" ht="66" hidden="0" customHeight="1">
      <x:c r="A14" s="80" t="str">
        <x:v>Sepia officinalis</x:v>
      </x:c>
      <x:c r="B14" s="74" t="n">
        <x:v>3.8</x:v>
      </x:c>
      <x:c r="C14" s="73" t="str">
        <x:v>Sepia</x:v>
      </x:c>
      <x:c r="D14" s="73" t="str">
        <x:v>Sepiidae</x:v>
      </x:c>
      <x:c r="E14" s="73" t="str">
        <x:v>Demersal/benthopelagic cuttlefishes</x:v>
      </x:c>
      <x:c r="F14" s="73" t="str">
        <x:v>Cephalopoda</x:v>
      </x:c>
      <x:c r="G14" s="74"/>
      <x:c r="H14" s="74" t="str">
        <x:f>IF(G14="","",G14-B14)</x:f>
      </x:c>
      <x:c r="I14" s="74" t="str">
        <x:f>IF(H14="","",ABS(H14))</x:f>
      </x:c>
      <x:c r="J14" s="75" t="str">
        <x:f>IF(I14="","",I14/B14*100)</x:f>
      </x:c>
      <x:c r="K14" s="74"/>
      <x:c r="L14" s="74" t="str">
        <x:f>IF(K14="","",K14-B14)</x:f>
      </x:c>
      <x:c r="M14" s="74" t="str">
        <x:f>IF(L14="","",ABS(L14))</x:f>
      </x:c>
      <x:c r="N14" s="75" t="str">
        <x:f>IF(M14="","",M14/B14*100)</x:f>
      </x:c>
      <x:c r="O14" s="74"/>
      <x:c r="P14" s="74" t="str">
        <x:f>IF(O14="","",O14-B14)</x:f>
      </x:c>
      <x:c r="Q14" s="74" t="str">
        <x:f>IF(P14="","",ABS(P14))</x:f>
      </x:c>
      <x:c r="R14" s="75" t="str">
        <x:f>IF(Q14="","",Q14/B14*100)</x:f>
      </x:c>
      <x:c r="S14" s="74" t="n">
        <x:v>4.75</x:v>
      </x:c>
      <x:c r="T14" s="74" t="n">
        <x:f>IF(S14="","",S14-B14)</x:f>
        <x:v>0.9500000000000002</x:v>
      </x:c>
      <x:c r="U14" s="74" t="n">
        <x:f>IF(T14="","",ABS(T14))</x:f>
        <x:v>0.9500000000000002</x:v>
      </x:c>
      <x:c r="V14" s="75" t="n">
        <x:f>IF(U14="","",U14/B14*100)</x:f>
        <x:v>25.000000000000007</x:v>
      </x:c>
      <x:c r="W14" s="73" t="str">
        <x:f>IF(G14&lt;&gt;"","Genus",IF(K14&lt;&gt;"","Family",IF(O14&lt;&gt;"","Ecological proxy",IF(S14&lt;&gt;"","Broad","No fallback"))))</x:f>
        <x:v>Broad</x:v>
      </x:c>
      <x:c r="X14" s="74" t="n">
        <x:f>IF(G14&lt;&gt;"",G14,IF(K14&lt;&gt;"",K14,IF(O14&lt;&gt;"",O14,IF(S14&lt;&gt;"",S14,""))))</x:f>
        <x:v>4.75</x:v>
      </x:c>
      <x:c r="Y14" s="74" t="n">
        <x:f>IF(X14="","",X14-B14)</x:f>
        <x:v>0.9500000000000002</x:v>
      </x:c>
      <x:c r="Z14" s="74" t="n">
        <x:f>IF(Y14="","",ABS(Y14))</x:f>
        <x:v>0.9500000000000002</x:v>
      </x:c>
      <x:c r="AA14" s="75" t="n">
        <x:f>IF(Z14="","",Z14/B14*100)</x:f>
        <x:v>25.000000000000007</x:v>
      </x:c>
      <x:c r="AB14" s="73" t="str"/>
    </x:row>
    <x:row r="15" ht="26.399999618530273" hidden="0" customHeight="1">
      <x:c r="A15" s="80" t="str">
        <x:v>Eledone cirrhosa</x:v>
      </x:c>
      <x:c r="B15" s="74" t="n">
        <x:v>4.7</x:v>
      </x:c>
      <x:c r="C15" s="73" t="str">
        <x:v>Eledone</x:v>
      </x:c>
      <x:c r="D15" s="73" t="str">
        <x:v>Octopodidae</x:v>
      </x:c>
      <x:c r="E15" s="73" t="str">
        <x:v>Benthic octopuses</x:v>
      </x:c>
      <x:c r="F15" s="73" t="str">
        <x:v>Cephalopoda</x:v>
      </x:c>
      <x:c r="G15" s="74"/>
      <x:c r="H15" s="74" t="str">
        <x:f>IF(G15="","",G15-B15)</x:f>
      </x:c>
      <x:c r="I15" s="74" t="str">
        <x:f>IF(H15="","",ABS(H15))</x:f>
      </x:c>
      <x:c r="J15" s="75" t="str">
        <x:f>IF(I15="","",I15/B15*100)</x:f>
      </x:c>
      <x:c r="K15" s="74"/>
      <x:c r="L15" s="74" t="str">
        <x:f>IF(K15="","",K15-B15)</x:f>
      </x:c>
      <x:c r="M15" s="74" t="str">
        <x:f>IF(L15="","",ABS(L15))</x:f>
      </x:c>
      <x:c r="N15" s="75" t="str">
        <x:f>IF(M15="","",M15/B15*100)</x:f>
      </x:c>
      <x:c r="O15" s="74"/>
      <x:c r="P15" s="74" t="str">
        <x:f>IF(O15="","",O15-B15)</x:f>
      </x:c>
      <x:c r="Q15" s="74" t="str">
        <x:f>IF(P15="","",ABS(P15))</x:f>
      </x:c>
      <x:c r="R15" s="75" t="str">
        <x:f>IF(Q15="","",Q15/B15*100)</x:f>
      </x:c>
      <x:c r="S15" s="74" t="n">
        <x:v>4.699999999999999</x:v>
      </x:c>
      <x:c r="T15" s="74" t="n">
        <x:f>IF(S15="","",S15-B15)</x:f>
        <x:v>-8.881784197001252e-16</x:v>
      </x:c>
      <x:c r="U15" s="74" t="str">
        <x:f>IF(T15="","",ABS(T15))</x:f>
      </x:c>
      <x:c r="V15" s="75" t="str">
        <x:f>IF(U15="","",U15/B15*100)</x:f>
      </x:c>
      <x:c r="W15" s="73" t="str">
        <x:f>IF(G15&lt;&gt;"","Genus",IF(K15&lt;&gt;"","Family",IF(O15&lt;&gt;"","Ecological proxy",IF(S15&lt;&gt;"","Broad","No fallback"))))</x:f>
        <x:v>Broad</x:v>
      </x:c>
      <x:c r="X15" s="74" t="n">
        <x:f>IF(G15&lt;&gt;"",G15,IF(K15&lt;&gt;"",K15,IF(O15&lt;&gt;"",O15,IF(S15&lt;&gt;"",S15,""))))</x:f>
        <x:v>4.699999999999999</x:v>
      </x:c>
      <x:c r="Y15" s="74" t="n">
        <x:f>IF(X15="","",X15-B15)</x:f>
        <x:v>-8.881784197001252e-16</x:v>
      </x:c>
      <x:c r="Z15" s="74" t="str">
        <x:f>IF(Y15="","",ABS(Y15))</x:f>
      </x:c>
      <x:c r="AA15" s="75" t="str">
        <x:f>IF(Z15="","",Z15/B15*100)</x:f>
      </x:c>
      <x:c r="AB15" s="73" t="str"/>
    </x:row>
    <x:row r="16" ht="39.599998474121094" hidden="0" customHeight="1">
      <x:c r="A16" s="80" t="str">
        <x:v>Scyliorhinus canicula</x:v>
      </x:c>
      <x:c r="B16" s="74" t="n">
        <x:v>6.4</x:v>
      </x:c>
      <x:c r="C16" s="73" t="str">
        <x:v>Scyliorhinus</x:v>
      </x:c>
      <x:c r="D16" s="73" t="str">
        <x:v>Scyliorhinidae</x:v>
      </x:c>
      <x:c r="E16" s="73" t="str">
        <x:v>Demersal sharks</x:v>
      </x:c>
      <x:c r="F16" s="73" t="str">
        <x:v>Chondrichthyes</x:v>
      </x:c>
      <x:c r="G16" s="74"/>
      <x:c r="H16" s="74" t="str">
        <x:f>IF(G16="","",G16-B16)</x:f>
      </x:c>
      <x:c r="I16" s="74" t="str">
        <x:f>IF(H16="","",ABS(H16))</x:f>
      </x:c>
      <x:c r="J16" s="75" t="str">
        <x:f>IF(I16="","",I16/B16*100)</x:f>
      </x:c>
      <x:c r="K16" s="74"/>
      <x:c r="L16" s="74" t="str">
        <x:f>IF(K16="","",K16-B16)</x:f>
      </x:c>
      <x:c r="M16" s="74" t="str">
        <x:f>IF(L16="","",ABS(L16))</x:f>
      </x:c>
      <x:c r="N16" s="75" t="str">
        <x:f>IF(M16="","",M16/B16*100)</x:f>
      </x:c>
      <x:c r="O16" s="74"/>
      <x:c r="P16" s="74" t="str">
        <x:f>IF(O16="","",O16-B16)</x:f>
      </x:c>
      <x:c r="Q16" s="74" t="str">
        <x:f>IF(P16="","",ABS(P16))</x:f>
      </x:c>
      <x:c r="R16" s="75" t="str">
        <x:f>IF(Q16="","",Q16/B16*100)</x:f>
      </x:c>
      <x:c r="S16" s="74" t="n">
        <x:v>4.8</x:v>
      </x:c>
      <x:c r="T16" s="74" t="n">
        <x:f>IF(S16="","",S16-B16)</x:f>
        <x:v>-1.6000000000000005</x:v>
      </x:c>
      <x:c r="U16" s="74" t="n">
        <x:f>IF(T16="","",ABS(T16))</x:f>
        <x:v>1.6000000000000005</x:v>
      </x:c>
      <x:c r="V16" s="75" t="n">
        <x:f>IF(U16="","",U16/B16*100)</x:f>
        <x:v>25.000000000000007</x:v>
      </x:c>
      <x:c r="W16" s="73" t="str">
        <x:f>IF(G16&lt;&gt;"","Genus",IF(K16&lt;&gt;"","Family",IF(O16&lt;&gt;"","Ecological proxy",IF(S16&lt;&gt;"","Broad","No fallback"))))</x:f>
        <x:v>Broad</x:v>
      </x:c>
      <x:c r="X16" s="74" t="n">
        <x:f>IF(G16&lt;&gt;"",G16,IF(K16&lt;&gt;"",K16,IF(O16&lt;&gt;"",O16,IF(S16&lt;&gt;"",S16,""))))</x:f>
        <x:v>4.8</x:v>
      </x:c>
      <x:c r="Y16" s="74" t="n">
        <x:f>IF(X16="","",X16-B16)</x:f>
        <x:v>-1.6000000000000005</x:v>
      </x:c>
      <x:c r="Z16" s="74" t="n">
        <x:f>IF(Y16="","",ABS(Y16))</x:f>
        <x:v>1.6000000000000005</x:v>
      </x:c>
      <x:c r="AA16" s="75" t="n">
        <x:f>IF(Z16="","",Z16/B16*100)</x:f>
        <x:v>25.000000000000007</x:v>
      </x:c>
      <x:c r="AB16" s="73" t="str"/>
    </x:row>
    <x:row r="17" ht="26.399999618530273" hidden="0" customHeight="1">
      <x:c r="A17" s="80" t="str">
        <x:v>Leucoraja naevus</x:v>
      </x:c>
      <x:c r="B17" s="74" t="n">
        <x:v>5.7</x:v>
      </x:c>
      <x:c r="C17" s="73" t="str">
        <x:v>Leucoraja</x:v>
      </x:c>
      <x:c r="D17" s="73" t="str">
        <x:v>Rajidae</x:v>
      </x:c>
      <x:c r="E17" s="73" t="str">
        <x:v>Demersal rays</x:v>
      </x:c>
      <x:c r="F17" s="73" t="str">
        <x:v>Chondrichthyes</x:v>
      </x:c>
      <x:c r="G17" s="74"/>
      <x:c r="H17" s="74" t="str">
        <x:f>IF(G17="","",G17-B17)</x:f>
      </x:c>
      <x:c r="I17" s="74" t="str">
        <x:f>IF(H17="","",ABS(H17))</x:f>
      </x:c>
      <x:c r="J17" s="75" t="str">
        <x:f>IF(I17="","",I17/B17*100)</x:f>
      </x:c>
      <x:c r="K17" s="74"/>
      <x:c r="L17" s="74" t="str">
        <x:f>IF(K17="","",K17-B17)</x:f>
      </x:c>
      <x:c r="M17" s="74" t="str">
        <x:f>IF(L17="","",ABS(L17))</x:f>
      </x:c>
      <x:c r="N17" s="75" t="str">
        <x:f>IF(M17="","",M17/B17*100)</x:f>
      </x:c>
      <x:c r="O17" s="74"/>
      <x:c r="P17" s="74" t="str">
        <x:f>IF(O17="","",O17-B17)</x:f>
      </x:c>
      <x:c r="Q17" s="74" t="str">
        <x:f>IF(P17="","",ABS(P17))</x:f>
      </x:c>
      <x:c r="R17" s="75" t="str">
        <x:f>IF(Q17="","",Q17/B17*100)</x:f>
      </x:c>
      <x:c r="S17" s="74" t="n">
        <x:v>5.15</x:v>
      </x:c>
      <x:c r="T17" s="74" t="n">
        <x:f>IF(S17="","",S17-B17)</x:f>
        <x:v>-0.5499999999999998</x:v>
      </x:c>
      <x:c r="U17" s="74" t="n">
        <x:f>IF(T17="","",ABS(T17))</x:f>
        <x:v>0.5499999999999998</x:v>
      </x:c>
      <x:c r="V17" s="75" t="n">
        <x:f>IF(U17="","",U17/B17*100)</x:f>
        <x:v>9.649122807017541</x:v>
      </x:c>
      <x:c r="W17" s="73" t="str">
        <x:f>IF(G17&lt;&gt;"","Genus",IF(K17&lt;&gt;"","Family",IF(O17&lt;&gt;"","Ecological proxy",IF(S17&lt;&gt;"","Broad","No fallback"))))</x:f>
        <x:v>Broad</x:v>
      </x:c>
      <x:c r="X17" s="74" t="n">
        <x:f>IF(G17&lt;&gt;"",G17,IF(K17&lt;&gt;"",K17,IF(O17&lt;&gt;"",O17,IF(S17&lt;&gt;"",S17,""))))</x:f>
        <x:v>5.15</x:v>
      </x:c>
      <x:c r="Y17" s="74" t="n">
        <x:f>IF(X17="","",X17-B17)</x:f>
        <x:v>-0.5499999999999998</x:v>
      </x:c>
      <x:c r="Z17" s="74" t="n">
        <x:f>IF(Y17="","",ABS(Y17))</x:f>
        <x:v>0.5499999999999998</x:v>
      </x:c>
      <x:c r="AA17" s="75" t="n">
        <x:f>IF(Z17="","",Z17/B17*100)</x:f>
        <x:v>9.649122807017541</x:v>
      </x:c>
      <x:c r="AB17" s="73" t="str"/>
    </x:row>
    <x:row r="18" ht="26.399999618530273" hidden="0" customHeight="1">
      <x:c r="A18" s="80" t="str">
        <x:v>Chimaera monstrosa</x:v>
      </x:c>
      <x:c r="B18" s="74" t="n">
        <x:v>3.9</x:v>
      </x:c>
      <x:c r="C18" s="73" t="str">
        <x:v>Chimaera</x:v>
      </x:c>
      <x:c r="D18" s="73" t="str">
        <x:v>Chimaeridae</x:v>
      </x:c>
      <x:c r="E18" s="73" t="str">
        <x:v>Demersal chimaeras</x:v>
      </x:c>
      <x:c r="F18" s="73" t="str">
        <x:v>Chondrichthyes</x:v>
      </x:c>
      <x:c r="G18" s="74"/>
      <x:c r="H18" s="74" t="str">
        <x:f>IF(G18="","",G18-B18)</x:f>
      </x:c>
      <x:c r="I18" s="74" t="str">
        <x:f>IF(H18="","",ABS(H18))</x:f>
      </x:c>
      <x:c r="J18" s="75" t="str">
        <x:f>IF(I18="","",I18/B18*100)</x:f>
      </x:c>
      <x:c r="K18" s="74"/>
      <x:c r="L18" s="74" t="str">
        <x:f>IF(K18="","",K18-B18)</x:f>
      </x:c>
      <x:c r="M18" s="74" t="str">
        <x:f>IF(L18="","",ABS(L18))</x:f>
      </x:c>
      <x:c r="N18" s="75" t="str">
        <x:f>IF(M18="","",M18/B18*100)</x:f>
      </x:c>
      <x:c r="O18" s="74"/>
      <x:c r="P18" s="74" t="str">
        <x:f>IF(O18="","",O18-B18)</x:f>
      </x:c>
      <x:c r="Q18" s="74" t="str">
        <x:f>IF(P18="","",ABS(P18))</x:f>
      </x:c>
      <x:c r="R18" s="75" t="str">
        <x:f>IF(Q18="","",Q18/B18*100)</x:f>
      </x:c>
      <x:c r="S18" s="74" t="n">
        <x:v>6.050000000000001</x:v>
      </x:c>
      <x:c r="T18" s="74" t="n">
        <x:f>IF(S18="","",S18-B18)</x:f>
        <x:v>2.150000000000001</x:v>
      </x:c>
      <x:c r="U18" s="74" t="n">
        <x:f>IF(T18="","",ABS(T18))</x:f>
        <x:v>2.150000000000001</x:v>
      </x:c>
      <x:c r="V18" s="75" t="n">
        <x:f>IF(U18="","",U18/B18*100)</x:f>
        <x:v>55.12820512820515</x:v>
      </x:c>
      <x:c r="W18" s="73" t="str">
        <x:f>IF(G18&lt;&gt;"","Genus",IF(K18&lt;&gt;"","Family",IF(O18&lt;&gt;"","Ecological proxy",IF(S18&lt;&gt;"","Broad","No fallback"))))</x:f>
        <x:v>Broad</x:v>
      </x:c>
      <x:c r="X18" s="74" t="n">
        <x:f>IF(G18&lt;&gt;"",G18,IF(K18&lt;&gt;"",K18,IF(O18&lt;&gt;"",O18,IF(S18&lt;&gt;"",S18,""))))</x:f>
        <x:v>6.050000000000001</x:v>
      </x:c>
      <x:c r="Y18" s="74" t="n">
        <x:f>IF(X18="","",X18-B18)</x:f>
        <x:v>2.150000000000001</x:v>
      </x:c>
      <x:c r="Z18" s="74" t="n">
        <x:f>IF(Y18="","",ABS(Y18))</x:f>
        <x:v>2.150000000000001</x:v>
      </x:c>
      <x:c r="AA18" s="75" t="n">
        <x:f>IF(Z18="","",Z18/B18*100)</x:f>
        <x:v>55.12820512820515</x:v>
      </x:c>
      <x:c r="AB18" s="73" t="str"/>
    </x:row>
    <x:row r="19" ht="39.599998474121094" hidden="0" customHeight="1">
      <x:c r="A19" s="80" t="str">
        <x:v>Serrivomer beanii</x:v>
      </x:c>
      <x:c r="B19" s="74" t="n">
        <x:v>2.1</x:v>
      </x:c>
      <x:c r="C19" s="73" t="str">
        <x:v>Serrivomer</x:v>
      </x:c>
      <x:c r="D19" s="73" t="str">
        <x:v>Serrivomeridae</x:v>
      </x:c>
      <x:c r="E19" s="73" t="str">
        <x:v>Unclassified teleosts</x:v>
      </x:c>
      <x:c r="F19" s="73" t="str">
        <x:v>Teleostei</x:v>
      </x:c>
      <x:c r="G19" s="74"/>
      <x:c r="H19" s="74" t="str">
        <x:f>IF(G19="","",G19-B19)</x:f>
      </x:c>
      <x:c r="I19" s="74" t="str">
        <x:f>IF(H19="","",ABS(H19))</x:f>
      </x:c>
      <x:c r="J19" s="75" t="str">
        <x:f>IF(I19="","",I19/B19*100)</x:f>
      </x:c>
      <x:c r="K19" s="74"/>
      <x:c r="L19" s="74" t="str">
        <x:f>IF(K19="","",K19-B19)</x:f>
      </x:c>
      <x:c r="M19" s="74" t="str">
        <x:f>IF(L19="","",ABS(L19))</x:f>
      </x:c>
      <x:c r="N19" s="75" t="str">
        <x:f>IF(M19="","",M19/B19*100)</x:f>
      </x:c>
      <x:c r="O19" s="74" t="n">
        <x:v>4.92</x:v>
      </x:c>
      <x:c r="P19" s="74" t="n">
        <x:f>IF(O19="","",O19-B19)</x:f>
        <x:v>2.82</x:v>
      </x:c>
      <x:c r="Q19" s="74" t="n">
        <x:f>IF(P19="","",ABS(P19))</x:f>
        <x:v>2.82</x:v>
      </x:c>
      <x:c r="R19" s="75" t="n">
        <x:f>IF(Q19="","",Q19/B19*100)</x:f>
        <x:v>134.28571428571428</x:v>
      </x:c>
      <x:c r="S19" s="74" t="n">
        <x:v>5.64</x:v>
      </x:c>
      <x:c r="T19" s="74" t="n">
        <x:f>IF(S19="","",S19-B19)</x:f>
        <x:v>3.5399999999999996</x:v>
      </x:c>
      <x:c r="U19" s="74" t="n">
        <x:f>IF(T19="","",ABS(T19))</x:f>
        <x:v>3.5399999999999996</x:v>
      </x:c>
      <x:c r="V19" s="75" t="n">
        <x:f>IF(U19="","",U19/B19*100)</x:f>
        <x:v>168.57142857142856</x:v>
      </x:c>
      <x:c r="W19" s="73" t="str">
        <x:f>IF(G19&lt;&gt;"","Genus",IF(K19&lt;&gt;"","Family",IF(O19&lt;&gt;"","Ecological proxy",IF(S19&lt;&gt;"","Broad","No fallback"))))</x:f>
        <x:v>Ecological proxy</x:v>
      </x:c>
      <x:c r="X19" s="74" t="n">
        <x:f>IF(G19&lt;&gt;"",G19,IF(K19&lt;&gt;"",K19,IF(O19&lt;&gt;"",O19,IF(S19&lt;&gt;"",S19,""))))</x:f>
        <x:v>4.92</x:v>
      </x:c>
      <x:c r="Y19" s="74" t="n">
        <x:f>IF(X19="","",X19-B19)</x:f>
        <x:v>2.82</x:v>
      </x:c>
      <x:c r="Z19" s="74" t="n">
        <x:f>IF(Y19="","",ABS(Y19))</x:f>
        <x:v>2.82</x:v>
      </x:c>
      <x:c r="AA19" s="75" t="n">
        <x:f>IF(Z19="","",Z19/B19*100)</x:f>
        <x:v>134.28571428571428</x:v>
      </x:c>
      <x:c r="AB19" s="73" t="str"/>
    </x:row>
    <x:row r="20" ht="52.79999923706055" hidden="0" customHeight="1">
      <x:c r="A20" s="80" t="str">
        <x:v>Sprattus sprattus</x:v>
      </x:c>
      <x:c r="B20" s="74" t="n">
        <x:v>6.5</x:v>
      </x:c>
      <x:c r="C20" s="73" t="str">
        <x:v>Sprattus</x:v>
      </x:c>
      <x:c r="D20" s="73" t="str">
        <x:v>Clupeidae</x:v>
      </x:c>
      <x:c r="E20" s="73" t="str">
        <x:v>Small pelagic forage fishes</x:v>
      </x:c>
      <x:c r="F20" s="73" t="str">
        <x:v>Teleostei</x:v>
      </x:c>
      <x:c r="G20" s="74"/>
      <x:c r="H20" s="74" t="str">
        <x:f>IF(G20="","",G20-B20)</x:f>
      </x:c>
      <x:c r="I20" s="74" t="str">
        <x:f>IF(H20="","",ABS(H20))</x:f>
      </x:c>
      <x:c r="J20" s="75" t="str">
        <x:f>IF(I20="","",I20/B20*100)</x:f>
      </x:c>
      <x:c r="K20" s="74" t="n">
        <x:v>6.995</x:v>
      </x:c>
      <x:c r="L20" s="74" t="n">
        <x:f>IF(K20="","",K20-B20)</x:f>
        <x:v>0.4950000000000001</x:v>
      </x:c>
      <x:c r="M20" s="74" t="n">
        <x:f>IF(L20="","",ABS(L20))</x:f>
        <x:v>0.4950000000000001</x:v>
      </x:c>
      <x:c r="N20" s="75" t="n">
        <x:f>IF(M20="","",M20/B20*100)</x:f>
        <x:v>7.615384615384617</x:v>
      </x:c>
      <x:c r="O20" s="74" t="n">
        <x:v>6.75</x:v>
      </x:c>
      <x:c r="P20" s="74" t="n">
        <x:f>IF(O20="","",O20-B20)</x:f>
        <x:v>0.25</x:v>
      </x:c>
      <x:c r="Q20" s="74" t="n">
        <x:f>IF(P20="","",ABS(P20))</x:f>
        <x:v>0.25</x:v>
      </x:c>
      <x:c r="R20" s="75" t="n">
        <x:f>IF(Q20="","",Q20/B20*100)</x:f>
        <x:v>3.8461538461538463</x:v>
      </x:c>
      <x:c r="S20" s="74" t="n">
        <x:v>5.6</x:v>
      </x:c>
      <x:c r="T20" s="74" t="n">
        <x:f>IF(S20="","",S20-B20)</x:f>
        <x:v>-0.9000000000000004</x:v>
      </x:c>
      <x:c r="U20" s="74" t="n">
        <x:f>IF(T20="","",ABS(T20))</x:f>
        <x:v>0.9000000000000004</x:v>
      </x:c>
      <x:c r="V20" s="75" t="n">
        <x:f>IF(U20="","",U20/B20*100)</x:f>
        <x:v>13.846153846153852</x:v>
      </x:c>
      <x:c r="W20" s="73" t="str">
        <x:f>IF(G20&lt;&gt;"","Genus",IF(K20&lt;&gt;"","Family",IF(O20&lt;&gt;"","Ecological proxy",IF(S20&lt;&gt;"","Broad","No fallback"))))</x:f>
        <x:v>Family</x:v>
      </x:c>
      <x:c r="X20" s="74" t="n">
        <x:f>IF(G20&lt;&gt;"",G20,IF(K20&lt;&gt;"",K20,IF(O20&lt;&gt;"",O20,IF(S20&lt;&gt;"",S20,""))))</x:f>
        <x:v>6.995</x:v>
      </x:c>
      <x:c r="Y20" s="74" t="n">
        <x:f>IF(X20="","",X20-B20)</x:f>
        <x:v>0.4950000000000001</x:v>
      </x:c>
      <x:c r="Z20" s="74" t="n">
        <x:f>IF(Y20="","",ABS(Y20))</x:f>
        <x:v>0.4950000000000001</x:v>
      </x:c>
      <x:c r="AA20" s="75" t="n">
        <x:f>IF(Z20="","",Z20/B20*100)</x:f>
        <x:v>7.615384615384617</x:v>
      </x:c>
      <x:c r="AB20" s="73" t="str"/>
    </x:row>
    <x:row r="21" ht="52.79999923706055" hidden="0" customHeight="1">
      <x:c r="A21" s="80" t="str">
        <x:v>Sardina pilchardus</x:v>
      </x:c>
      <x:c r="B21" s="74" t="n">
        <x:v>8.7</x:v>
      </x:c>
      <x:c r="C21" s="73" t="str">
        <x:v>Sardina</x:v>
      </x:c>
      <x:c r="D21" s="73" t="str">
        <x:v>Clupeidae</x:v>
      </x:c>
      <x:c r="E21" s="73" t="str">
        <x:v>Small pelagic forage fishes</x:v>
      </x:c>
      <x:c r="F21" s="73" t="str">
        <x:v>Teleostei</x:v>
      </x:c>
      <x:c r="G21" s="74"/>
      <x:c r="H21" s="74" t="str">
        <x:f>IF(G21="","",G21-B21)</x:f>
      </x:c>
      <x:c r="I21" s="74" t="str">
        <x:f>IF(H21="","",ABS(H21))</x:f>
      </x:c>
      <x:c r="J21" s="75" t="str">
        <x:f>IF(I21="","",I21/B21*100)</x:f>
      </x:c>
      <x:c r="K21" s="74" t="n">
        <x:v>6.87</x:v>
      </x:c>
      <x:c r="L21" s="74" t="n">
        <x:f>IF(K21="","",K21-B21)</x:f>
        <x:v>-1.8299999999999992</x:v>
      </x:c>
      <x:c r="M21" s="74" t="n">
        <x:f>IF(L21="","",ABS(L21))</x:f>
        <x:v>1.8299999999999992</x:v>
      </x:c>
      <x:c r="N21" s="75" t="n">
        <x:f>IF(M21="","",M21/B21*100)</x:f>
        <x:v>21.034482758620683</x:v>
      </x:c>
      <x:c r="O21" s="74" t="n">
        <x:v>6.74</x:v>
      </x:c>
      <x:c r="P21" s="74" t="n">
        <x:f>IF(O21="","",O21-B21)</x:f>
        <x:v>-1.959999999999999</x:v>
      </x:c>
      <x:c r="Q21" s="74" t="n">
        <x:f>IF(P21="","",ABS(P21))</x:f>
        <x:v>1.959999999999999</x:v>
      </x:c>
      <x:c r="R21" s="75" t="n">
        <x:f>IF(Q21="","",Q21/B21*100)</x:f>
        <x:v>22.5287356321839</x:v>
      </x:c>
      <x:c r="S21" s="74" t="n">
        <x:v>5.6</x:v>
      </x:c>
      <x:c r="T21" s="74" t="n">
        <x:f>IF(S21="","",S21-B21)</x:f>
        <x:v>-3.0999999999999996</x:v>
      </x:c>
      <x:c r="U21" s="74" t="n">
        <x:f>IF(T21="","",ABS(T21))</x:f>
        <x:v>3.0999999999999996</x:v>
      </x:c>
      <x:c r="V21" s="75" t="n">
        <x:f>IF(U21="","",U21/B21*100)</x:f>
        <x:v>35.63218390804598</x:v>
      </x:c>
      <x:c r="W21" s="73" t="str">
        <x:f>IF(G21&lt;&gt;"","Genus",IF(K21&lt;&gt;"","Family",IF(O21&lt;&gt;"","Ecological proxy",IF(S21&lt;&gt;"","Broad","No fallback"))))</x:f>
        <x:v>Family</x:v>
      </x:c>
      <x:c r="X21" s="74" t="n">
        <x:f>IF(G21&lt;&gt;"",G21,IF(K21&lt;&gt;"",K21,IF(O21&lt;&gt;"",O21,IF(S21&lt;&gt;"",S21,""))))</x:f>
        <x:v>6.87</x:v>
      </x:c>
      <x:c r="Y21" s="74" t="n">
        <x:f>IF(X21="","",X21-B21)</x:f>
        <x:v>-1.8299999999999992</x:v>
      </x:c>
      <x:c r="Z21" s="74" t="n">
        <x:f>IF(Y21="","",ABS(Y21))</x:f>
        <x:v>1.8299999999999992</x:v>
      </x:c>
      <x:c r="AA21" s="75" t="n">
        <x:f>IF(Z21="","",Z21/B21*100)</x:f>
        <x:v>21.034482758620683</x:v>
      </x:c>
      <x:c r="AB21" s="73" t="str"/>
    </x:row>
    <x:row r="22" ht="52.79999923706055" hidden="0" customHeight="1">
      <x:c r="A22" s="80" t="str">
        <x:v>Clupea harengus</x:v>
      </x:c>
      <x:c r="B22" s="74" t="n">
        <x:v>7.955</x:v>
      </x:c>
      <x:c r="C22" s="73" t="str">
        <x:v>Clupea</x:v>
      </x:c>
      <x:c r="D22" s="73" t="str">
        <x:v>Clupeidae</x:v>
      </x:c>
      <x:c r="E22" s="73" t="str">
        <x:v>Small pelagic forage fishes</x:v>
      </x:c>
      <x:c r="F22" s="73" t="str">
        <x:v>Teleostei</x:v>
      </x:c>
      <x:c r="G22" s="74" t="n">
        <x:v>7</x:v>
      </x:c>
      <x:c r="H22" s="74" t="n">
        <x:f>IF(G22="","",G22-B22)</x:f>
        <x:v>-0.9550000000000001</x:v>
      </x:c>
      <x:c r="I22" s="74" t="n">
        <x:f>IF(H22="","",ABS(H22))</x:f>
        <x:v>0.9550000000000001</x:v>
      </x:c>
      <x:c r="J22" s="75" t="n">
        <x:f>IF(I22="","",I22/B22*100)</x:f>
        <x:v>12.005028284098053</x:v>
      </x:c>
      <x:c r="K22" s="74" t="n">
        <x:v>6.87</x:v>
      </x:c>
      <x:c r="L22" s="74" t="n">
        <x:f>IF(K22="","",K22-B22)</x:f>
        <x:v>-1.085</x:v>
      </x:c>
      <x:c r="M22" s="74" t="n">
        <x:f>IF(L22="","",ABS(L22))</x:f>
        <x:v>1.085</x:v>
      </x:c>
      <x:c r="N22" s="75" t="n">
        <x:f>IF(M22="","",M22/B22*100)</x:f>
        <x:v>13.6392206159648</x:v>
      </x:c>
      <x:c r="O22" s="74" t="n">
        <x:v>6.74</x:v>
      </x:c>
      <x:c r="P22" s="74" t="n">
        <x:f>IF(O22="","",O22-B22)</x:f>
        <x:v>-1.2149999999999999</x:v>
      </x:c>
      <x:c r="Q22" s="74" t="n">
        <x:f>IF(P22="","",ABS(P22))</x:f>
        <x:v>1.2149999999999999</x:v>
      </x:c>
      <x:c r="R22" s="75" t="n">
        <x:f>IF(Q22="","",Q22/B22*100)</x:f>
        <x:v>15.273412947831549</x:v>
      </x:c>
      <x:c r="S22" s="74" t="n">
        <x:v>5.6</x:v>
      </x:c>
      <x:c r="T22" s="74" t="n">
        <x:f>IF(S22="","",S22-B22)</x:f>
        <x:v>-2.3550000000000004</x:v>
      </x:c>
      <x:c r="U22" s="74" t="n">
        <x:f>IF(T22="","",ABS(T22))</x:f>
        <x:v>2.3550000000000004</x:v>
      </x:c>
      <x:c r="V22" s="75" t="n">
        <x:f>IF(U22="","",U22/B22*100)</x:f>
        <x:v>29.604022627278447</x:v>
      </x:c>
      <x:c r="W22" s="73" t="str">
        <x:f>IF(G22&lt;&gt;"","Genus",IF(K22&lt;&gt;"","Family",IF(O22&lt;&gt;"","Ecological proxy",IF(S22&lt;&gt;"","Broad","No fallback"))))</x:f>
        <x:v>Genus</x:v>
      </x:c>
      <x:c r="X22" s="74" t="n">
        <x:f>IF(G22&lt;&gt;"",G22,IF(K22&lt;&gt;"",K22,IF(O22&lt;&gt;"",O22,IF(S22&lt;&gt;"",S22,""))))</x:f>
        <x:v>7</x:v>
      </x:c>
      <x:c r="Y22" s="74" t="n">
        <x:f>IF(X22="","",X22-B22)</x:f>
        <x:v>-0.9550000000000001</x:v>
      </x:c>
      <x:c r="Z22" s="74" t="n">
        <x:f>IF(Y22="","",ABS(Y22))</x:f>
        <x:v>0.9550000000000001</x:v>
      </x:c>
      <x:c r="AA22" s="75" t="n">
        <x:f>IF(Z22="","",Z22/B22*100)</x:f>
        <x:v>12.005028284098053</x:v>
      </x:c>
      <x:c r="AB22" s="73" t="str"/>
    </x:row>
    <x:row r="23" ht="52.79999923706055" hidden="0" customHeight="1">
      <x:c r="A23" s="80" t="str">
        <x:v>Engraulis encrasicolus</x:v>
      </x:c>
      <x:c r="B23" s="74" t="n">
        <x:v>5.8</x:v>
      </x:c>
      <x:c r="C23" s="73" t="str">
        <x:v>Engraulis</x:v>
      </x:c>
      <x:c r="D23" s="73" t="str">
        <x:v>Engraulidae</x:v>
      </x:c>
      <x:c r="E23" s="73" t="str">
        <x:v>Small pelagic forage fishes</x:v>
      </x:c>
      <x:c r="F23" s="73" t="str">
        <x:v>Teleostei</x:v>
      </x:c>
      <x:c r="G23" s="74" t="n">
        <x:v>7.85</x:v>
      </x:c>
      <x:c r="H23" s="74" t="n">
        <x:f>IF(G23="","",G23-B23)</x:f>
        <x:v>2.05</x:v>
      </x:c>
      <x:c r="I23" s="74" t="n">
        <x:f>IF(H23="","",ABS(H23))</x:f>
        <x:v>2.05</x:v>
      </x:c>
      <x:c r="J23" s="75" t="n">
        <x:f>IF(I23="","",I23/B23*100)</x:f>
        <x:v>35.3448275862069</x:v>
      </x:c>
      <x:c r="K23" s="74" t="n">
        <x:v>5.2</x:v>
      </x:c>
      <x:c r="L23" s="74" t="n">
        <x:f>IF(K23="","",K23-B23)</x:f>
        <x:v>-0.5999999999999996</x:v>
      </x:c>
      <x:c r="M23" s="74" t="n">
        <x:f>IF(L23="","",ABS(L23))</x:f>
        <x:v>0.5999999999999996</x:v>
      </x:c>
      <x:c r="N23" s="75" t="n">
        <x:f>IF(M23="","",M23/B23*100)</x:f>
        <x:v>10.344827586206891</x:v>
      </x:c>
      <x:c r="O23" s="74" t="n">
        <x:v>6.75</x:v>
      </x:c>
      <x:c r="P23" s="74" t="n">
        <x:f>IF(O23="","",O23-B23)</x:f>
        <x:v>0.9500000000000002</x:v>
      </x:c>
      <x:c r="Q23" s="74" t="n">
        <x:f>IF(P23="","",ABS(P23))</x:f>
        <x:v>0.9500000000000002</x:v>
      </x:c>
      <x:c r="R23" s="75" t="n">
        <x:f>IF(Q23="","",Q23/B23*100)</x:f>
        <x:v>16.379310344827587</x:v>
      </x:c>
      <x:c r="S23" s="74" t="n">
        <x:v>5.6</x:v>
      </x:c>
      <x:c r="T23" s="74" t="n">
        <x:f>IF(S23="","",S23-B23)</x:f>
        <x:v>-0.20000000000000018</x:v>
      </x:c>
      <x:c r="U23" s="74" t="n">
        <x:f>IF(T23="","",ABS(T23))</x:f>
        <x:v>0.20000000000000018</x:v>
      </x:c>
      <x:c r="V23" s="75" t="n">
        <x:f>IF(U23="","",U23/B23*100)</x:f>
        <x:v>3.448275862068969</x:v>
      </x:c>
      <x:c r="W23" s="73" t="str">
        <x:f>IF(G23&lt;&gt;"","Genus",IF(K23&lt;&gt;"","Family",IF(O23&lt;&gt;"","Ecological proxy",IF(S23&lt;&gt;"","Broad","No fallback"))))</x:f>
        <x:v>Genus</x:v>
      </x:c>
      <x:c r="X23" s="74" t="n">
        <x:f>IF(G23&lt;&gt;"",G23,IF(K23&lt;&gt;"",K23,IF(O23&lt;&gt;"",O23,IF(S23&lt;&gt;"",S23,""))))</x:f>
        <x:v>7.85</x:v>
      </x:c>
      <x:c r="Y23" s="74" t="n">
        <x:f>IF(X23="","",X23-B23)</x:f>
        <x:v>2.05</x:v>
      </x:c>
      <x:c r="Z23" s="74" t="n">
        <x:f>IF(Y23="","",ABS(Y23))</x:f>
        <x:v>2.05</x:v>
      </x:c>
      <x:c r="AA23" s="75" t="n">
        <x:f>IF(Z23="","",Z23/B23*100)</x:f>
        <x:v>35.3448275862069</x:v>
      </x:c>
      <x:c r="AB23" s="73" t="str"/>
    </x:row>
    <x:row r="24" ht="39.599998474121094" hidden="0" customHeight="1">
      <x:c r="A24" s="80" t="str">
        <x:v>Xenodermichtys copei</x:v>
      </x:c>
      <x:c r="B24" s="74" t="n">
        <x:v>2.2</x:v>
      </x:c>
      <x:c r="C24" s="73" t="str">
        <x:v>Xenodermichtys</x:v>
      </x:c>
      <x:c r="D24" s="73" t="str">
        <x:v>Alepocephalidae</x:v>
      </x:c>
      <x:c r="E24" s="73" t="str">
        <x:v>Unclassified teleosts</x:v>
      </x:c>
      <x:c r="F24" s="73" t="str">
        <x:v>Teleostei</x:v>
      </x:c>
      <x:c r="G24" s="74"/>
      <x:c r="H24" s="74" t="str">
        <x:f>IF(G24="","",G24-B24)</x:f>
      </x:c>
      <x:c r="I24" s="74" t="str">
        <x:f>IF(H24="","",ABS(H24))</x:f>
      </x:c>
      <x:c r="J24" s="75" t="str">
        <x:f>IF(I24="","",I24/B24*100)</x:f>
      </x:c>
      <x:c r="K24" s="74"/>
      <x:c r="L24" s="74" t="str">
        <x:f>IF(K24="","",K24-B24)</x:f>
      </x:c>
      <x:c r="M24" s="74" t="str">
        <x:f>IF(L24="","",ABS(L24))</x:f>
      </x:c>
      <x:c r="N24" s="75" t="str">
        <x:f>IF(M24="","",M24/B24*100)</x:f>
      </x:c>
      <x:c r="O24" s="74" t="n">
        <x:v>4.92</x:v>
      </x:c>
      <x:c r="P24" s="74" t="n">
        <x:f>IF(O24="","",O24-B24)</x:f>
        <x:v>2.7199999999999998</x:v>
      </x:c>
      <x:c r="Q24" s="74" t="n">
        <x:f>IF(P24="","",ABS(P24))</x:f>
        <x:v>2.7199999999999998</x:v>
      </x:c>
      <x:c r="R24" s="75" t="n">
        <x:f>IF(Q24="","",Q24/B24*100)</x:f>
        <x:v>123.63636363636361</x:v>
      </x:c>
      <x:c r="S24" s="74" t="n">
        <x:v>5.64</x:v>
      </x:c>
      <x:c r="T24" s="74" t="n">
        <x:f>IF(S24="","",S24-B24)</x:f>
        <x:v>3.4399999999999995</x:v>
      </x:c>
      <x:c r="U24" s="74" t="n">
        <x:f>IF(T24="","",ABS(T24))</x:f>
        <x:v>3.4399999999999995</x:v>
      </x:c>
      <x:c r="V24" s="75" t="n">
        <x:f>IF(U24="","",U24/B24*100)</x:f>
        <x:v>156.36363636363632</x:v>
      </x:c>
      <x:c r="W24" s="73" t="str">
        <x:f>IF(G24&lt;&gt;"","Genus",IF(K24&lt;&gt;"","Family",IF(O24&lt;&gt;"","Ecological proxy",IF(S24&lt;&gt;"","Broad","No fallback"))))</x:f>
        <x:v>Ecological proxy</x:v>
      </x:c>
      <x:c r="X24" s="74" t="n">
        <x:f>IF(G24&lt;&gt;"",G24,IF(K24&lt;&gt;"",K24,IF(O24&lt;&gt;"",O24,IF(S24&lt;&gt;"",S24,""))))</x:f>
        <x:v>4.92</x:v>
      </x:c>
      <x:c r="Y24" s="74" t="n">
        <x:f>IF(X24="","",X24-B24)</x:f>
        <x:v>2.7199999999999998</x:v>
      </x:c>
      <x:c r="Z24" s="74" t="n">
        <x:f>IF(Y24="","",ABS(Y24))</x:f>
        <x:v>2.7199999999999998</x:v>
      </x:c>
      <x:c r="AA24" s="75" t="n">
        <x:f>IF(Z24="","",Z24/B24*100)</x:f>
        <x:v>123.63636363636361</x:v>
      </x:c>
      <x:c r="AB24" s="73" t="str"/>
    </x:row>
    <x:row r="25" ht="39.599998474121094" hidden="0" customHeight="1">
      <x:c r="A25" s="80" t="str">
        <x:v>Argentina sphyraena</x:v>
      </x:c>
      <x:c r="B25" s="74" t="n">
        <x:v>6.1</x:v>
      </x:c>
      <x:c r="C25" s="73" t="str">
        <x:v>Argentina</x:v>
      </x:c>
      <x:c r="D25" s="73" t="str">
        <x:v>Argentinidae</x:v>
      </x:c>
      <x:c r="E25" s="73" t="str">
        <x:v>Unclassified teleosts</x:v>
      </x:c>
      <x:c r="F25" s="73" t="str">
        <x:v>Teleostei</x:v>
      </x:c>
      <x:c r="G25" s="74"/>
      <x:c r="H25" s="74" t="str">
        <x:f>IF(G25="","",G25-B25)</x:f>
      </x:c>
      <x:c r="I25" s="74" t="str">
        <x:f>IF(H25="","",ABS(H25))</x:f>
      </x:c>
      <x:c r="J25" s="75" t="str">
        <x:f>IF(I25="","",I25/B25*100)</x:f>
      </x:c>
      <x:c r="K25" s="74"/>
      <x:c r="L25" s="74" t="str">
        <x:f>IF(K25="","",K25-B25)</x:f>
      </x:c>
      <x:c r="M25" s="74" t="str">
        <x:f>IF(L25="","",ABS(L25))</x:f>
      </x:c>
      <x:c r="N25" s="75" t="str">
        <x:f>IF(M25="","",M25/B25*100)</x:f>
      </x:c>
      <x:c r="O25" s="74" t="n">
        <x:v>4.92</x:v>
      </x:c>
      <x:c r="P25" s="74" t="n">
        <x:f>IF(O25="","",O25-B25)</x:f>
        <x:v>-1.1799999999999997</x:v>
      </x:c>
      <x:c r="Q25" s="74" t="n">
        <x:f>IF(P25="","",ABS(P25))</x:f>
        <x:v>1.1799999999999997</x:v>
      </x:c>
      <x:c r="R25" s="75" t="n">
        <x:f>IF(Q25="","",Q25/B25*100)</x:f>
        <x:v>19.34426229508196</x:v>
      </x:c>
      <x:c r="S25" s="74" t="n">
        <x:v>5.6</x:v>
      </x:c>
      <x:c r="T25" s="74" t="n">
        <x:f>IF(S25="","",S25-B25)</x:f>
        <x:v>-0.5</x:v>
      </x:c>
      <x:c r="U25" s="74" t="n">
        <x:f>IF(T25="","",ABS(T25))</x:f>
        <x:v>0.5</x:v>
      </x:c>
      <x:c r="V25" s="75" t="n">
        <x:f>IF(U25="","",U25/B25*100)</x:f>
        <x:v>8.196721311475411</x:v>
      </x:c>
      <x:c r="W25" s="73" t="str">
        <x:f>IF(G25&lt;&gt;"","Genus",IF(K25&lt;&gt;"","Family",IF(O25&lt;&gt;"","Ecological proxy",IF(S25&lt;&gt;"","Broad","No fallback"))))</x:f>
        <x:v>Ecological proxy</x:v>
      </x:c>
      <x:c r="X25" s="74" t="n">
        <x:f>IF(G25&lt;&gt;"",G25,IF(K25&lt;&gt;"",K25,IF(O25&lt;&gt;"",O25,IF(S25&lt;&gt;"",S25,""))))</x:f>
        <x:v>4.92</x:v>
      </x:c>
      <x:c r="Y25" s="74" t="n">
        <x:f>IF(X25="","",X25-B25)</x:f>
        <x:v>-1.1799999999999997</x:v>
      </x:c>
      <x:c r="Z25" s="74" t="n">
        <x:f>IF(Y25="","",ABS(Y25))</x:f>
        <x:v>1.1799999999999997</x:v>
      </x:c>
      <x:c r="AA25" s="75" t="n">
        <x:f>IF(Z25="","",Z25/B25*100)</x:f>
        <x:v>19.34426229508196</x:v>
      </x:c>
      <x:c r="AB25" s="73" t="str"/>
    </x:row>
    <x:row r="26" ht="39.599998474121094" hidden="0" customHeight="1">
      <x:c r="A26" s="80" t="str">
        <x:v>Normichthys operosa</x:v>
      </x:c>
      <x:c r="B26" s="74" t="n">
        <x:v>2.6</x:v>
      </x:c>
      <x:c r="C26" s="73" t="str">
        <x:v>Normichthys</x:v>
      </x:c>
      <x:c r="D26" s="73" t="str">
        <x:v>Platytroctidae</x:v>
      </x:c>
      <x:c r="E26" s="73" t="str">
        <x:v>Unclassified teleosts</x:v>
      </x:c>
      <x:c r="F26" s="73" t="str">
        <x:v>Teleostei</x:v>
      </x:c>
      <x:c r="G26" s="74"/>
      <x:c r="H26" s="74" t="str">
        <x:f>IF(G26="","",G26-B26)</x:f>
      </x:c>
      <x:c r="I26" s="74" t="str">
        <x:f>IF(H26="","",ABS(H26))</x:f>
      </x:c>
      <x:c r="J26" s="75" t="str">
        <x:f>IF(I26="","",I26/B26*100)</x:f>
      </x:c>
      <x:c r="K26" s="74"/>
      <x:c r="L26" s="74" t="str">
        <x:f>IF(K26="","",K26-B26)</x:f>
      </x:c>
      <x:c r="M26" s="74" t="str">
        <x:f>IF(L26="","",ABS(L26))</x:f>
      </x:c>
      <x:c r="N26" s="75" t="str">
        <x:f>IF(M26="","",M26/B26*100)</x:f>
      </x:c>
      <x:c r="O26" s="74" t="n">
        <x:v>4.92</x:v>
      </x:c>
      <x:c r="P26" s="74" t="n">
        <x:f>IF(O26="","",O26-B26)</x:f>
        <x:v>2.32</x:v>
      </x:c>
      <x:c r="Q26" s="74" t="n">
        <x:f>IF(P26="","",ABS(P26))</x:f>
        <x:v>2.32</x:v>
      </x:c>
      <x:c r="R26" s="75" t="n">
        <x:f>IF(Q26="","",Q26/B26*100)</x:f>
        <x:v>89.23076923076923</x:v>
      </x:c>
      <x:c r="S26" s="74" t="n">
        <x:v>5.64</x:v>
      </x:c>
      <x:c r="T26" s="74" t="n">
        <x:f>IF(S26="","",S26-B26)</x:f>
        <x:v>3.0399999999999996</x:v>
      </x:c>
      <x:c r="U26" s="74" t="n">
        <x:f>IF(T26="","",ABS(T26))</x:f>
        <x:v>3.0399999999999996</x:v>
      </x:c>
      <x:c r="V26" s="75" t="n">
        <x:f>IF(U26="","",U26/B26*100)</x:f>
        <x:v>116.9230769230769</x:v>
      </x:c>
      <x:c r="W26" s="73" t="str">
        <x:f>IF(G26&lt;&gt;"","Genus",IF(K26&lt;&gt;"","Family",IF(O26&lt;&gt;"","Ecological proxy",IF(S26&lt;&gt;"","Broad","No fallback"))))</x:f>
        <x:v>Ecological proxy</x:v>
      </x:c>
      <x:c r="X26" s="74" t="n">
        <x:f>IF(G26&lt;&gt;"",G26,IF(K26&lt;&gt;"",K26,IF(O26&lt;&gt;"",O26,IF(S26&lt;&gt;"",S26,""))))</x:f>
        <x:v>4.92</x:v>
      </x:c>
      <x:c r="Y26" s="74" t="n">
        <x:f>IF(X26="","",X26-B26)</x:f>
        <x:v>2.32</x:v>
      </x:c>
      <x:c r="Z26" s="74" t="n">
        <x:f>IF(Y26="","",ABS(Y26))</x:f>
        <x:v>2.32</x:v>
      </x:c>
      <x:c r="AA26" s="75" t="n">
        <x:f>IF(Z26="","",Z26/B26*100)</x:f>
        <x:v>89.23076923076923</x:v>
      </x:c>
      <x:c r="AB26" s="73" t="str"/>
    </x:row>
    <x:row r="27" ht="39.599998474121094" hidden="0" customHeight="1">
      <x:c r="A27" s="80" t="str">
        <x:v>Argyropelecus olfersii</x:v>
      </x:c>
      <x:c r="B27" s="74" t="n">
        <x:v>3.5</x:v>
      </x:c>
      <x:c r="C27" s="73" t="str">
        <x:v>Argyropelecus</x:v>
      </x:c>
      <x:c r="D27" s="73" t="str">
        <x:v>Sternoptychidae</x:v>
      </x:c>
      <x:c r="E27" s="73" t="str">
        <x:v>Mesopelagic forage fishes</x:v>
      </x:c>
      <x:c r="F27" s="73" t="str">
        <x:v>Teleostei</x:v>
      </x:c>
      <x:c r="G27" s="74"/>
      <x:c r="H27" s="74" t="str">
        <x:f>IF(G27="","",G27-B27)</x:f>
      </x:c>
      <x:c r="I27" s="74" t="str">
        <x:f>IF(H27="","",ABS(H27))</x:f>
      </x:c>
      <x:c r="J27" s="75" t="str">
        <x:f>IF(I27="","",I27/B27*100)</x:f>
      </x:c>
      <x:c r="K27" s="74" t="n">
        <x:v>4.2</x:v>
      </x:c>
      <x:c r="L27" s="74" t="n">
        <x:f>IF(K27="","",K27-B27)</x:f>
        <x:v>0.7000000000000002</x:v>
      </x:c>
      <x:c r="M27" s="74" t="n">
        <x:f>IF(L27="","",ABS(L27))</x:f>
        <x:v>0.7000000000000002</x:v>
      </x:c>
      <x:c r="N27" s="75" t="n">
        <x:f>IF(M27="","",M27/B27*100)</x:f>
        <x:v>20.000000000000004</x:v>
      </x:c>
      <x:c r="O27" s="74" t="n">
        <x:v>5.9</x:v>
      </x:c>
      <x:c r="P27" s="74" t="n">
        <x:f>IF(O27="","",O27-B27)</x:f>
        <x:v>2.4000000000000004</x:v>
      </x:c>
      <x:c r="Q27" s="74" t="n">
        <x:f>IF(P27="","",ABS(P27))</x:f>
        <x:v>2.4000000000000004</x:v>
      </x:c>
      <x:c r="R27" s="75" t="n">
        <x:f>IF(Q27="","",Q27/B27*100)</x:f>
        <x:v>68.57142857142858</x:v>
      </x:c>
      <x:c r="S27" s="74" t="n">
        <x:v>5.64</x:v>
      </x:c>
      <x:c r="T27" s="74" t="n">
        <x:f>IF(S27="","",S27-B27)</x:f>
        <x:v>2.1399999999999997</x:v>
      </x:c>
      <x:c r="U27" s="74" t="n">
        <x:f>IF(T27="","",ABS(T27))</x:f>
        <x:v>2.1399999999999997</x:v>
      </x:c>
      <x:c r="V27" s="75" t="n">
        <x:f>IF(U27="","",U27/B27*100)</x:f>
        <x:v>61.14285714285713</x:v>
      </x:c>
      <x:c r="W27" s="73" t="str">
        <x:f>IF(G27&lt;&gt;"","Genus",IF(K27&lt;&gt;"","Family",IF(O27&lt;&gt;"","Ecological proxy",IF(S27&lt;&gt;"","Broad","No fallback"))))</x:f>
        <x:v>Family</x:v>
      </x:c>
      <x:c r="X27" s="74" t="n">
        <x:f>IF(G27&lt;&gt;"",G27,IF(K27&lt;&gt;"",K27,IF(O27&lt;&gt;"",O27,IF(S27&lt;&gt;"",S27,""))))</x:f>
        <x:v>4.2</x:v>
      </x:c>
      <x:c r="Y27" s="74" t="n">
        <x:f>IF(X27="","",X27-B27)</x:f>
        <x:v>0.7000000000000002</x:v>
      </x:c>
      <x:c r="Z27" s="74" t="n">
        <x:f>IF(Y27="","",ABS(Y27))</x:f>
        <x:v>0.7000000000000002</x:v>
      </x:c>
      <x:c r="AA27" s="75" t="n">
        <x:f>IF(Z27="","",Z27/B27*100)</x:f>
        <x:v>20.000000000000004</x:v>
      </x:c>
      <x:c r="AB27" s="73" t="str"/>
    </x:row>
    <x:row r="28" ht="39.599998474121094" hidden="0" customHeight="1">
      <x:c r="A28" s="80" t="str">
        <x:v>Maurolicus muelleri</x:v>
      </x:c>
      <x:c r="B28" s="74" t="n">
        <x:v>4.2</x:v>
      </x:c>
      <x:c r="C28" s="73" t="str">
        <x:v>Maurolicus</x:v>
      </x:c>
      <x:c r="D28" s="73" t="str">
        <x:v>Sternoptychidae</x:v>
      </x:c>
      <x:c r="E28" s="73" t="str">
        <x:v>Mesopelagic forage fishes</x:v>
      </x:c>
      <x:c r="F28" s="73" t="str">
        <x:v>Teleostei</x:v>
      </x:c>
      <x:c r="G28" s="74"/>
      <x:c r="H28" s="74" t="str">
        <x:f>IF(G28="","",G28-B28)</x:f>
      </x:c>
      <x:c r="I28" s="74" t="str">
        <x:f>IF(H28="","",ABS(H28))</x:f>
      </x:c>
      <x:c r="J28" s="75" t="str">
        <x:f>IF(I28="","",I28/B28*100)</x:f>
      </x:c>
      <x:c r="K28" s="74" t="n">
        <x:v>3.5</x:v>
      </x:c>
      <x:c r="L28" s="74" t="n">
        <x:f>IF(K28="","",K28-B28)</x:f>
        <x:v>-0.7000000000000002</x:v>
      </x:c>
      <x:c r="M28" s="74" t="n">
        <x:f>IF(L28="","",ABS(L28))</x:f>
        <x:v>0.7000000000000002</x:v>
      </x:c>
      <x:c r="N28" s="75" t="n">
        <x:f>IF(M28="","",M28/B28*100)</x:f>
        <x:v>16.66666666666667</x:v>
      </x:c>
      <x:c r="O28" s="74" t="n">
        <x:v>5.9</x:v>
      </x:c>
      <x:c r="P28" s="74" t="n">
        <x:f>IF(O28="","",O28-B28)</x:f>
        <x:v>1.7000000000000002</x:v>
      </x:c>
      <x:c r="Q28" s="74" t="n">
        <x:f>IF(P28="","",ABS(P28))</x:f>
        <x:v>1.7000000000000002</x:v>
      </x:c>
      <x:c r="R28" s="75" t="n">
        <x:f>IF(Q28="","",Q28/B28*100)</x:f>
        <x:v>40.476190476190474</x:v>
      </x:c>
      <x:c r="S28" s="74" t="n">
        <x:v>5.64</x:v>
      </x:c>
      <x:c r="T28" s="74" t="n">
        <x:f>IF(S28="","",S28-B28)</x:f>
        <x:v>1.4399999999999995</x:v>
      </x:c>
      <x:c r="U28" s="74" t="n">
        <x:f>IF(T28="","",ABS(T28))</x:f>
        <x:v>1.4399999999999995</x:v>
      </x:c>
      <x:c r="V28" s="75" t="n">
        <x:f>IF(U28="","",U28/B28*100)</x:f>
        <x:v>34.28571428571428</x:v>
      </x:c>
      <x:c r="W28" s="73" t="str">
        <x:f>IF(G28&lt;&gt;"","Genus",IF(K28&lt;&gt;"","Family",IF(O28&lt;&gt;"","Ecological proxy",IF(S28&lt;&gt;"","Broad","No fallback"))))</x:f>
        <x:v>Family</x:v>
      </x:c>
      <x:c r="X28" s="74" t="n">
        <x:f>IF(G28&lt;&gt;"",G28,IF(K28&lt;&gt;"",K28,IF(O28&lt;&gt;"",O28,IF(S28&lt;&gt;"",S28,""))))</x:f>
        <x:v>3.5</x:v>
      </x:c>
      <x:c r="Y28" s="74" t="n">
        <x:f>IF(X28="","",X28-B28)</x:f>
        <x:v>-0.7000000000000002</x:v>
      </x:c>
      <x:c r="Z28" s="74" t="n">
        <x:f>IF(Y28="","",ABS(Y28))</x:f>
        <x:v>0.7000000000000002</x:v>
      </x:c>
      <x:c r="AA28" s="75" t="n">
        <x:f>IF(Z28="","",Z28/B28*100)</x:f>
        <x:v>16.66666666666667</x:v>
      </x:c>
      <x:c r="AB28" s="73" t="str"/>
    </x:row>
    <x:row r="29" ht="39.599998474121094" hidden="0" customHeight="1">
      <x:c r="A29" s="80" t="str">
        <x:v>Stomias boa</x:v>
      </x:c>
      <x:c r="B29" s="74" t="n">
        <x:v>2.8</x:v>
      </x:c>
      <x:c r="C29" s="73" t="str">
        <x:v>Stomias</x:v>
      </x:c>
      <x:c r="D29" s="73" t="str">
        <x:v>Stomiidae</x:v>
      </x:c>
      <x:c r="E29" s="73" t="str">
        <x:v>Unclassified teleosts</x:v>
      </x:c>
      <x:c r="F29" s="73" t="str">
        <x:v>Teleostei</x:v>
      </x:c>
      <x:c r="G29" s="74"/>
      <x:c r="H29" s="74" t="str">
        <x:f>IF(G29="","",G29-B29)</x:f>
      </x:c>
      <x:c r="I29" s="74" t="str">
        <x:f>IF(H29="","",ABS(H29))</x:f>
      </x:c>
      <x:c r="J29" s="75" t="str">
        <x:f>IF(I29="","",I29/B29*100)</x:f>
      </x:c>
      <x:c r="K29" s="74"/>
      <x:c r="L29" s="74" t="str">
        <x:f>IF(K29="","",K29-B29)</x:f>
      </x:c>
      <x:c r="M29" s="74" t="str">
        <x:f>IF(L29="","",ABS(L29))</x:f>
      </x:c>
      <x:c r="N29" s="75" t="str">
        <x:f>IF(M29="","",M29/B29*100)</x:f>
      </x:c>
      <x:c r="O29" s="74" t="n">
        <x:v>4.92</x:v>
      </x:c>
      <x:c r="P29" s="74" t="n">
        <x:f>IF(O29="","",O29-B29)</x:f>
        <x:v>2.12</x:v>
      </x:c>
      <x:c r="Q29" s="74" t="n">
        <x:f>IF(P29="","",ABS(P29))</x:f>
        <x:v>2.12</x:v>
      </x:c>
      <x:c r="R29" s="75" t="n">
        <x:f>IF(Q29="","",Q29/B29*100)</x:f>
        <x:v>75.71428571428572</x:v>
      </x:c>
      <x:c r="S29" s="74" t="n">
        <x:v>5.64</x:v>
      </x:c>
      <x:c r="T29" s="74" t="n">
        <x:f>IF(S29="","",S29-B29)</x:f>
        <x:v>2.84</x:v>
      </x:c>
      <x:c r="U29" s="74" t="n">
        <x:f>IF(T29="","",ABS(T29))</x:f>
        <x:v>2.84</x:v>
      </x:c>
      <x:c r="V29" s="75" t="n">
        <x:f>IF(U29="","",U29/B29*100)</x:f>
        <x:v>101.42857142857142</x:v>
      </x:c>
      <x:c r="W29" s="73" t="str">
        <x:f>IF(G29&lt;&gt;"","Genus",IF(K29&lt;&gt;"","Family",IF(O29&lt;&gt;"","Ecological proxy",IF(S29&lt;&gt;"","Broad","No fallback"))))</x:f>
        <x:v>Ecological proxy</x:v>
      </x:c>
      <x:c r="X29" s="74" t="n">
        <x:f>IF(G29&lt;&gt;"",G29,IF(K29&lt;&gt;"",K29,IF(O29&lt;&gt;"",O29,IF(S29&lt;&gt;"",S29,""))))</x:f>
        <x:v>4.92</x:v>
      </x:c>
      <x:c r="Y29" s="74" t="n">
        <x:f>IF(X29="","",X29-B29)</x:f>
        <x:v>2.12</x:v>
      </x:c>
      <x:c r="Z29" s="74" t="n">
        <x:f>IF(Y29="","",ABS(Y29))</x:f>
        <x:v>2.12</x:v>
      </x:c>
      <x:c r="AA29" s="75" t="n">
        <x:f>IF(Z29="","",Z29/B29*100)</x:f>
        <x:v>75.71428571428572</x:v>
      </x:c>
      <x:c r="AB29" s="73" t="str"/>
    </x:row>
    <x:row r="30" ht="39.599998474121094" hidden="0" customHeight="1">
      <x:c r="A30" s="80" t="str">
        <x:v>Arctozenus risso</x:v>
      </x:c>
      <x:c r="B30" s="74" t="n">
        <x:v>4.3</x:v>
      </x:c>
      <x:c r="C30" s="73" t="str">
        <x:v>Arctozenus</x:v>
      </x:c>
      <x:c r="D30" s="73" t="str">
        <x:v>Paralepididae</x:v>
      </x:c>
      <x:c r="E30" s="73" t="str">
        <x:v>Unclassified teleosts</x:v>
      </x:c>
      <x:c r="F30" s="73" t="str">
        <x:v>Teleostei</x:v>
      </x:c>
      <x:c r="G30" s="74"/>
      <x:c r="H30" s="74" t="str">
        <x:f>IF(G30="","",G30-B30)</x:f>
      </x:c>
      <x:c r="I30" s="74" t="str">
        <x:f>IF(H30="","",ABS(H30))</x:f>
      </x:c>
      <x:c r="J30" s="75" t="str">
        <x:f>IF(I30="","",I30/B30*100)</x:f>
      </x:c>
      <x:c r="K30" s="74"/>
      <x:c r="L30" s="74" t="str">
        <x:f>IF(K30="","",K30-B30)</x:f>
      </x:c>
      <x:c r="M30" s="74" t="str">
        <x:f>IF(L30="","",ABS(L30))</x:f>
      </x:c>
      <x:c r="N30" s="75" t="str">
        <x:f>IF(M30="","",M30/B30*100)</x:f>
      </x:c>
      <x:c r="O30" s="74" t="n">
        <x:v>4.92</x:v>
      </x:c>
      <x:c r="P30" s="74" t="n">
        <x:f>IF(O30="","",O30-B30)</x:f>
        <x:v>0.6200000000000001</x:v>
      </x:c>
      <x:c r="Q30" s="74" t="n">
        <x:f>IF(P30="","",ABS(P30))</x:f>
        <x:v>0.6200000000000001</x:v>
      </x:c>
      <x:c r="R30" s="75" t="n">
        <x:f>IF(Q30="","",Q30/B30*100)</x:f>
        <x:v>14.418604651162795</x:v>
      </x:c>
      <x:c r="S30" s="74" t="n">
        <x:v>5.64</x:v>
      </x:c>
      <x:c r="T30" s="74" t="n">
        <x:f>IF(S30="","",S30-B30)</x:f>
        <x:v>1.3399999999999999</x:v>
      </x:c>
      <x:c r="U30" s="74" t="n">
        <x:f>IF(T30="","",ABS(T30))</x:f>
        <x:v>1.3399999999999999</x:v>
      </x:c>
      <x:c r="V30" s="75" t="n">
        <x:f>IF(U30="","",U30/B30*100)</x:f>
        <x:v>31.162790697674414</x:v>
      </x:c>
      <x:c r="W30" s="73" t="str">
        <x:f>IF(G30&lt;&gt;"","Genus",IF(K30&lt;&gt;"","Family",IF(O30&lt;&gt;"","Ecological proxy",IF(S30&lt;&gt;"","Broad","No fallback"))))</x:f>
        <x:v>Ecological proxy</x:v>
      </x:c>
      <x:c r="X30" s="74" t="n">
        <x:f>IF(G30&lt;&gt;"",G30,IF(K30&lt;&gt;"",K30,IF(O30&lt;&gt;"",O30,IF(S30&lt;&gt;"",S30,""))))</x:f>
        <x:v>4.92</x:v>
      </x:c>
      <x:c r="Y30" s="74" t="n">
        <x:f>IF(X30="","",X30-B30)</x:f>
        <x:v>0.6200000000000001</x:v>
      </x:c>
      <x:c r="Z30" s="74" t="n">
        <x:f>IF(Y30="","",ABS(Y30))</x:f>
        <x:v>0.6200000000000001</x:v>
      </x:c>
      <x:c r="AA30" s="75" t="n">
        <x:f>IF(Z30="","",Z30/B30*100)</x:f>
        <x:v>14.418604651162795</x:v>
      </x:c>
      <x:c r="AB30" s="73" t="str"/>
    </x:row>
    <x:row r="31" ht="39.599998474121094" hidden="0" customHeight="1">
      <x:c r="A31" s="80" t="str">
        <x:v>Lampanyctus crocodilus</x:v>
      </x:c>
      <x:c r="B31" s="74" t="n">
        <x:v>4.1</x:v>
      </x:c>
      <x:c r="C31" s="73" t="str">
        <x:v>Lampanyctus</x:v>
      </x:c>
      <x:c r="D31" s="73" t="str">
        <x:v>Myctophidae</x:v>
      </x:c>
      <x:c r="E31" s="73" t="str">
        <x:v>Mesopelagic forage fishes</x:v>
      </x:c>
      <x:c r="F31" s="73" t="str">
        <x:v>Teleostei</x:v>
      </x:c>
      <x:c r="G31" s="74"/>
      <x:c r="H31" s="74" t="str">
        <x:f>IF(G31="","",G31-B31)</x:f>
      </x:c>
      <x:c r="I31" s="74" t="str">
        <x:f>IF(H31="","",ABS(H31))</x:f>
      </x:c>
      <x:c r="J31" s="75" t="str">
        <x:f>IF(I31="","",I31/B31*100)</x:f>
      </x:c>
      <x:c r="K31" s="74" t="n">
        <x:v>7</x:v>
      </x:c>
      <x:c r="L31" s="74" t="n">
        <x:f>IF(K31="","",K31-B31)</x:f>
        <x:v>2.9000000000000004</x:v>
      </x:c>
      <x:c r="M31" s="74" t="n">
        <x:f>IF(L31="","",ABS(L31))</x:f>
        <x:v>2.9000000000000004</x:v>
      </x:c>
      <x:c r="N31" s="75" t="n">
        <x:f>IF(M31="","",M31/B31*100)</x:f>
        <x:v>70.73170731707319</x:v>
      </x:c>
      <x:c r="O31" s="74" t="n">
        <x:v>5.9</x:v>
      </x:c>
      <x:c r="P31" s="74" t="n">
        <x:f>IF(O31="","",O31-B31)</x:f>
        <x:v>1.8000000000000007</x:v>
      </x:c>
      <x:c r="Q31" s="74" t="n">
        <x:f>IF(P31="","",ABS(P31))</x:f>
        <x:v>1.8000000000000007</x:v>
      </x:c>
      <x:c r="R31" s="75" t="n">
        <x:f>IF(Q31="","",Q31/B31*100)</x:f>
        <x:v>43.90243902439027</x:v>
      </x:c>
      <x:c r="S31" s="74" t="n">
        <x:v>5.64</x:v>
      </x:c>
      <x:c r="T31" s="74" t="n">
        <x:f>IF(S31="","",S31-B31)</x:f>
        <x:v>1.54</x:v>
      </x:c>
      <x:c r="U31" s="74" t="n">
        <x:f>IF(T31="","",ABS(T31))</x:f>
        <x:v>1.54</x:v>
      </x:c>
      <x:c r="V31" s="75" t="n">
        <x:f>IF(U31="","",U31/B31*100)</x:f>
        <x:v>37.560975609756106</x:v>
      </x:c>
      <x:c r="W31" s="73" t="str">
        <x:f>IF(G31&lt;&gt;"","Genus",IF(K31&lt;&gt;"","Family",IF(O31&lt;&gt;"","Ecological proxy",IF(S31&lt;&gt;"","Broad","No fallback"))))</x:f>
        <x:v>Family</x:v>
      </x:c>
      <x:c r="X31" s="74" t="n">
        <x:f>IF(G31&lt;&gt;"",G31,IF(K31&lt;&gt;"",K31,IF(O31&lt;&gt;"",O31,IF(S31&lt;&gt;"",S31,""))))</x:f>
        <x:v>7</x:v>
      </x:c>
      <x:c r="Y31" s="74" t="n">
        <x:f>IF(X31="","",X31-B31)</x:f>
        <x:v>2.9000000000000004</x:v>
      </x:c>
      <x:c r="Z31" s="74" t="n">
        <x:f>IF(Y31="","",ABS(Y31))</x:f>
        <x:v>2.9000000000000004</x:v>
      </x:c>
      <x:c r="AA31" s="75" t="n">
        <x:f>IF(Z31="","",Z31/B31*100)</x:f>
        <x:v>70.73170731707319</x:v>
      </x:c>
      <x:c r="AB31" s="73" t="str"/>
    </x:row>
    <x:row r="32" ht="39.599998474121094" hidden="0" customHeight="1">
      <x:c r="A32" s="80" t="str">
        <x:v>Benthosema glaciale</x:v>
      </x:c>
      <x:c r="B32" s="74" t="n">
        <x:v>5.9</x:v>
      </x:c>
      <x:c r="C32" s="73" t="str">
        <x:v>Benthosema</x:v>
      </x:c>
      <x:c r="D32" s="73" t="str">
        <x:v>Myctophidae</x:v>
      </x:c>
      <x:c r="E32" s="73" t="str">
        <x:v>Mesopelagic forage fishes</x:v>
      </x:c>
      <x:c r="F32" s="73" t="str">
        <x:v>Teleostei</x:v>
      </x:c>
      <x:c r="G32" s="74"/>
      <x:c r="H32" s="74" t="str">
        <x:f>IF(G32="","",G32-B32)</x:f>
      </x:c>
      <x:c r="I32" s="74" t="str">
        <x:f>IF(H32="","",ABS(H32))</x:f>
      </x:c>
      <x:c r="J32" s="75" t="str">
        <x:f>IF(I32="","",I32/B32*100)</x:f>
      </x:c>
      <x:c r="K32" s="74" t="n">
        <x:v>7</x:v>
      </x:c>
      <x:c r="L32" s="74" t="n">
        <x:f>IF(K32="","",K32-B32)</x:f>
        <x:v>1.0999999999999996</x:v>
      </x:c>
      <x:c r="M32" s="74" t="n">
        <x:f>IF(L32="","",ABS(L32))</x:f>
        <x:v>1.0999999999999996</x:v>
      </x:c>
      <x:c r="N32" s="75" t="n">
        <x:f>IF(M32="","",M32/B32*100)</x:f>
        <x:v>18.644067796610162</x:v>
      </x:c>
      <x:c r="O32" s="74" t="n">
        <x:v>4.2</x:v>
      </x:c>
      <x:c r="P32" s="74" t="n">
        <x:f>IF(O32="","",O32-B32)</x:f>
        <x:v>-1.7000000000000002</x:v>
      </x:c>
      <x:c r="Q32" s="74" t="n">
        <x:f>IF(P32="","",ABS(P32))</x:f>
        <x:v>1.7000000000000002</x:v>
      </x:c>
      <x:c r="R32" s="75" t="n">
        <x:f>IF(Q32="","",Q32/B32*100)</x:f>
        <x:v>28.8135593220339</x:v>
      </x:c>
      <x:c r="S32" s="74" t="n">
        <x:v>5.6</x:v>
      </x:c>
      <x:c r="T32" s="74" t="n">
        <x:f>IF(S32="","",S32-B32)</x:f>
        <x:v>-0.3000000000000007</x:v>
      </x:c>
      <x:c r="U32" s="74" t="n">
        <x:f>IF(T32="","",ABS(T32))</x:f>
        <x:v>0.3000000000000007</x:v>
      </x:c>
      <x:c r="V32" s="75" t="n">
        <x:f>IF(U32="","",U32/B32*100)</x:f>
        <x:v>5.084745762711876</x:v>
      </x:c>
      <x:c r="W32" s="73" t="str">
        <x:f>IF(G32&lt;&gt;"","Genus",IF(K32&lt;&gt;"","Family",IF(O32&lt;&gt;"","Ecological proxy",IF(S32&lt;&gt;"","Broad","No fallback"))))</x:f>
        <x:v>Family</x:v>
      </x:c>
      <x:c r="X32" s="74" t="n">
        <x:f>IF(G32&lt;&gt;"",G32,IF(K32&lt;&gt;"",K32,IF(O32&lt;&gt;"",O32,IF(S32&lt;&gt;"",S32,""))))</x:f>
        <x:v>7</x:v>
      </x:c>
      <x:c r="Y32" s="74" t="n">
        <x:f>IF(X32="","",X32-B32)</x:f>
        <x:v>1.0999999999999996</x:v>
      </x:c>
      <x:c r="Z32" s="74" t="n">
        <x:f>IF(Y32="","",ABS(Y32))</x:f>
        <x:v>1.0999999999999996</x:v>
      </x:c>
      <x:c r="AA32" s="75" t="n">
        <x:f>IF(Z32="","",Z32/B32*100)</x:f>
        <x:v>18.644067796610162</x:v>
      </x:c>
      <x:c r="AB32" s="73" t="str"/>
    </x:row>
    <x:row r="33" ht="39.599998474121094" hidden="0" customHeight="1">
      <x:c r="A33" s="80" t="str">
        <x:v>Notoscopelus kroyeri</x:v>
      </x:c>
      <x:c r="B33" s="74" t="n">
        <x:v>7.9</x:v>
      </x:c>
      <x:c r="C33" s="73" t="str">
        <x:v>Notoscopelus</x:v>
      </x:c>
      <x:c r="D33" s="73" t="str">
        <x:v>Myctophidae</x:v>
      </x:c>
      <x:c r="E33" s="73" t="str">
        <x:v>Mesopelagic forage fishes</x:v>
      </x:c>
      <x:c r="F33" s="73" t="str">
        <x:v>Teleostei</x:v>
      </x:c>
      <x:c r="G33" s="74"/>
      <x:c r="H33" s="74" t="str">
        <x:f>IF(G33="","",G33-B33)</x:f>
      </x:c>
      <x:c r="I33" s="74" t="str">
        <x:f>IF(H33="","",ABS(H33))</x:f>
      </x:c>
      <x:c r="J33" s="75" t="str">
        <x:f>IF(I33="","",I33/B33*100)</x:f>
      </x:c>
      <x:c r="K33" s="74" t="n">
        <x:v>7</x:v>
      </x:c>
      <x:c r="L33" s="74" t="n">
        <x:f>IF(K33="","",K33-B33)</x:f>
        <x:v>-0.9000000000000004</x:v>
      </x:c>
      <x:c r="M33" s="74" t="n">
        <x:f>IF(L33="","",ABS(L33))</x:f>
        <x:v>0.9000000000000004</x:v>
      </x:c>
      <x:c r="N33" s="75" t="n">
        <x:f>IF(M33="","",M33/B33*100)</x:f>
        <x:v>11.392405063291143</x:v>
      </x:c>
      <x:c r="O33" s="74" t="n">
        <x:v>4.2</x:v>
      </x:c>
      <x:c r="P33" s="74" t="n">
        <x:f>IF(O33="","",O33-B33)</x:f>
        <x:v>-3.7</x:v>
      </x:c>
      <x:c r="Q33" s="74" t="n">
        <x:f>IF(P33="","",ABS(P33))</x:f>
        <x:v>3.7</x:v>
      </x:c>
      <x:c r="R33" s="75" t="n">
        <x:f>IF(Q33="","",Q33/B33*100)</x:f>
        <x:v>46.835443037974684</x:v>
      </x:c>
      <x:c r="S33" s="74" t="n">
        <x:v>5.6</x:v>
      </x:c>
      <x:c r="T33" s="74" t="n">
        <x:f>IF(S33="","",S33-B33)</x:f>
        <x:v>-2.3000000000000007</x:v>
      </x:c>
      <x:c r="U33" s="74" t="n">
        <x:f>IF(T33="","",ABS(T33))</x:f>
        <x:v>2.3000000000000007</x:v>
      </x:c>
      <x:c r="V33" s="75" t="n">
        <x:f>IF(U33="","",U33/B33*100)</x:f>
        <x:v>29.113924050632917</x:v>
      </x:c>
      <x:c r="W33" s="73" t="str">
        <x:f>IF(G33&lt;&gt;"","Genus",IF(K33&lt;&gt;"","Family",IF(O33&lt;&gt;"","Ecological proxy",IF(S33&lt;&gt;"","Broad","No fallback"))))</x:f>
        <x:v>Family</x:v>
      </x:c>
      <x:c r="X33" s="74" t="n">
        <x:f>IF(G33&lt;&gt;"",G33,IF(K33&lt;&gt;"",K33,IF(O33&lt;&gt;"",O33,IF(S33&lt;&gt;"",S33,""))))</x:f>
        <x:v>7</x:v>
      </x:c>
      <x:c r="Y33" s="74" t="n">
        <x:f>IF(X33="","",X33-B33)</x:f>
        <x:v>-0.9000000000000004</x:v>
      </x:c>
      <x:c r="Z33" s="74" t="n">
        <x:f>IF(Y33="","",ABS(Y33))</x:f>
        <x:v>0.9000000000000004</x:v>
      </x:c>
      <x:c r="AA33" s="75" t="n">
        <x:f>IF(Z33="","",Z33/B33*100)</x:f>
        <x:v>11.392405063291143</x:v>
      </x:c>
      <x:c r="AB33" s="73" t="str"/>
    </x:row>
    <x:row r="34" ht="39.599998474121094" hidden="0" customHeight="1">
      <x:c r="A34" s="80" t="str">
        <x:v>Lobianchia gemellari</x:v>
      </x:c>
      <x:c r="B34" s="74" t="n">
        <x:v>8.6</x:v>
      </x:c>
      <x:c r="C34" s="73" t="str">
        <x:v>Lobianchia</x:v>
      </x:c>
      <x:c r="D34" s="73" t="str">
        <x:v>Myctophidae</x:v>
      </x:c>
      <x:c r="E34" s="73" t="str">
        <x:v>Mesopelagic forage fishes</x:v>
      </x:c>
      <x:c r="F34" s="73" t="str">
        <x:v>Teleostei</x:v>
      </x:c>
      <x:c r="G34" s="74"/>
      <x:c r="H34" s="74" t="str">
        <x:f>IF(G34="","",G34-B34)</x:f>
      </x:c>
      <x:c r="I34" s="74" t="str">
        <x:f>IF(H34="","",ABS(H34))</x:f>
      </x:c>
      <x:c r="J34" s="75" t="str">
        <x:f>IF(I34="","",I34/B34*100)</x:f>
      </x:c>
      <x:c r="K34" s="74" t="n">
        <x:v>7</x:v>
      </x:c>
      <x:c r="L34" s="74" t="n">
        <x:f>IF(K34="","",K34-B34)</x:f>
        <x:v>-1.5999999999999996</x:v>
      </x:c>
      <x:c r="M34" s="74" t="n">
        <x:f>IF(L34="","",ABS(L34))</x:f>
        <x:v>1.5999999999999996</x:v>
      </x:c>
      <x:c r="N34" s="75" t="n">
        <x:f>IF(M34="","",M34/B34*100)</x:f>
        <x:v>18.604651162790695</x:v>
      </x:c>
      <x:c r="O34" s="74" t="n">
        <x:v>4.2</x:v>
      </x:c>
      <x:c r="P34" s="74" t="n">
        <x:f>IF(O34="","",O34-B34)</x:f>
        <x:v>-4.3999999999999995</x:v>
      </x:c>
      <x:c r="Q34" s="74" t="n">
        <x:f>IF(P34="","",ABS(P34))</x:f>
        <x:v>4.3999999999999995</x:v>
      </x:c>
      <x:c r="R34" s="75" t="n">
        <x:f>IF(Q34="","",Q34/B34*100)</x:f>
        <x:v>51.16279069767441</x:v>
      </x:c>
      <x:c r="S34" s="74" t="n">
        <x:v>5.6</x:v>
      </x:c>
      <x:c r="T34" s="74" t="n">
        <x:f>IF(S34="","",S34-B34)</x:f>
        <x:v>-3</x:v>
      </x:c>
      <x:c r="U34" s="74" t="n">
        <x:f>IF(T34="","",ABS(T34))</x:f>
        <x:v>3</x:v>
      </x:c>
      <x:c r="V34" s="75" t="n">
        <x:f>IF(U34="","",U34/B34*100)</x:f>
        <x:v>34.883720930232556</x:v>
      </x:c>
      <x:c r="W34" s="73" t="str">
        <x:f>IF(G34&lt;&gt;"","Genus",IF(K34&lt;&gt;"","Family",IF(O34&lt;&gt;"","Ecological proxy",IF(S34&lt;&gt;"","Broad","No fallback"))))</x:f>
        <x:v>Family</x:v>
      </x:c>
      <x:c r="X34" s="74" t="n">
        <x:f>IF(G34&lt;&gt;"",G34,IF(K34&lt;&gt;"",K34,IF(O34&lt;&gt;"",O34,IF(S34&lt;&gt;"",S34,""))))</x:f>
        <x:v>7</x:v>
      </x:c>
      <x:c r="Y34" s="74" t="n">
        <x:f>IF(X34="","",X34-B34)</x:f>
        <x:v>-1.5999999999999996</x:v>
      </x:c>
      <x:c r="Z34" s="74" t="n">
        <x:f>IF(Y34="","",ABS(Y34))</x:f>
        <x:v>1.5999999999999996</x:v>
      </x:c>
      <x:c r="AA34" s="75" t="n">
        <x:f>IF(Z34="","",Z34/B34*100)</x:f>
        <x:v>18.604651162790695</x:v>
      </x:c>
      <x:c r="AB34" s="73" t="str"/>
    </x:row>
    <x:row r="35" ht="52.79999923706055" hidden="0" customHeight="1">
      <x:c r="A35" s="80" t="str">
        <x:v>Coelorinchus coelorinchus</x:v>
      </x:c>
      <x:c r="B35" s="74" t="n">
        <x:v>5.1</x:v>
      </x:c>
      <x:c r="C35" s="73" t="str">
        <x:v>Coelorinchus</x:v>
      </x:c>
      <x:c r="D35" s="73" t="str">
        <x:v>Macrouridae</x:v>
      </x:c>
      <x:c r="E35" s="73" t="str">
        <x:v>Other demersal fishes</x:v>
      </x:c>
      <x:c r="F35" s="73" t="str">
        <x:v>Teleostei</x:v>
      </x:c>
      <x:c r="G35" s="74"/>
      <x:c r="H35" s="74" t="str">
        <x:f>IF(G35="","",G35-B35)</x:f>
      </x:c>
      <x:c r="I35" s="74" t="str">
        <x:f>IF(H35="","",ABS(H35))</x:f>
      </x:c>
      <x:c r="J35" s="75" t="str">
        <x:f>IF(I35="","",I35/B35*100)</x:f>
      </x:c>
      <x:c r="K35" s="74"/>
      <x:c r="L35" s="74" t="str">
        <x:f>IF(K35="","",K35-B35)</x:f>
      </x:c>
      <x:c r="M35" s="74" t="str">
        <x:f>IF(L35="","",ABS(L35))</x:f>
      </x:c>
      <x:c r="N35" s="75" t="str">
        <x:f>IF(M35="","",M35/B35*100)</x:f>
      </x:c>
      <x:c r="O35" s="74" t="n">
        <x:v>5</x:v>
      </x:c>
      <x:c r="P35" s="74" t="n">
        <x:f>IF(O35="","",O35-B35)</x:f>
        <x:v>-0.09999999999999964</x:v>
      </x:c>
      <x:c r="Q35" s="74" t="n">
        <x:f>IF(P35="","",ABS(P35))</x:f>
        <x:v>0.09999999999999964</x:v>
      </x:c>
      <x:c r="R35" s="75" t="n">
        <x:f>IF(Q35="","",Q35/B35*100)</x:f>
        <x:v>1.9607843137254832</x:v>
      </x:c>
      <x:c r="S35" s="74" t="n">
        <x:v>5.64</x:v>
      </x:c>
      <x:c r="T35" s="74" t="n">
        <x:f>IF(S35="","",S35-B35)</x:f>
        <x:v>0.54</x:v>
      </x:c>
      <x:c r="U35" s="74" t="n">
        <x:f>IF(T35="","",ABS(T35))</x:f>
        <x:v>0.54</x:v>
      </x:c>
      <x:c r="V35" s="75" t="n">
        <x:f>IF(U35="","",U35/B35*100)</x:f>
        <x:v>10.588235294117649</x:v>
      </x:c>
      <x:c r="W35" s="73" t="str">
        <x:f>IF(G35&lt;&gt;"","Genus",IF(K35&lt;&gt;"","Family",IF(O35&lt;&gt;"","Ecological proxy",IF(S35&lt;&gt;"","Broad","No fallback"))))</x:f>
        <x:v>Ecological proxy</x:v>
      </x:c>
      <x:c r="X35" s="74" t="n">
        <x:f>IF(G35&lt;&gt;"",G35,IF(K35&lt;&gt;"",K35,IF(O35&lt;&gt;"",O35,IF(S35&lt;&gt;"",S35,""))))</x:f>
        <x:v>5</x:v>
      </x:c>
      <x:c r="Y35" s="74" t="n">
        <x:f>IF(X35="","",X35-B35)</x:f>
        <x:v>-0.09999999999999964</x:v>
      </x:c>
      <x:c r="Z35" s="74" t="n">
        <x:f>IF(Y35="","",ABS(Y35))</x:f>
        <x:v>0.09999999999999964</x:v>
      </x:c>
      <x:c r="AA35" s="75" t="n">
        <x:f>IF(Z35="","",Z35/B35*100)</x:f>
        <x:v>1.9607843137254832</x:v>
      </x:c>
      <x:c r="AB35" s="73" t="str"/>
    </x:row>
    <x:row r="36" ht="39.599998474121094" hidden="0" customHeight="1">
      <x:c r="A36" s="80" t="str">
        <x:v>Merlangius merlangus</x:v>
      </x:c>
      <x:c r="B36" s="74" t="n">
        <x:v>3.9</x:v>
      </x:c>
      <x:c r="C36" s="73" t="str">
        <x:v>Merlangius</x:v>
      </x:c>
      <x:c r="D36" s="73" t="str">
        <x:v>Gadidae</x:v>
      </x:c>
      <x:c r="E36" s="73" t="str">
        <x:v>Other demersal fishes</x:v>
      </x:c>
      <x:c r="F36" s="73" t="str">
        <x:v>Teleostei</x:v>
      </x:c>
      <x:c r="G36" s="74"/>
      <x:c r="H36" s="74" t="str">
        <x:f>IF(G36="","",G36-B36)</x:f>
      </x:c>
      <x:c r="I36" s="74" t="str">
        <x:f>IF(H36="","",ABS(H36))</x:f>
      </x:c>
      <x:c r="J36" s="75" t="str">
        <x:f>IF(I36="","",I36/B36*100)</x:f>
      </x:c>
      <x:c r="K36" s="74" t="n">
        <x:v>4.85</x:v>
      </x:c>
      <x:c r="L36" s="74" t="n">
        <x:f>IF(K36="","",K36-B36)</x:f>
        <x:v>0.9499999999999997</x:v>
      </x:c>
      <x:c r="M36" s="74" t="n">
        <x:f>IF(L36="","",ABS(L36))</x:f>
        <x:v>0.9499999999999997</x:v>
      </x:c>
      <x:c r="N36" s="75" t="n">
        <x:f>IF(M36="","",M36/B36*100)</x:f>
        <x:v>24.358974358974354</x:v>
      </x:c>
      <x:c r="O36" s="74" t="n">
        <x:v>5.02</x:v>
      </x:c>
      <x:c r="P36" s="74" t="n">
        <x:f>IF(O36="","",O36-B36)</x:f>
        <x:v>1.1199999999999997</x:v>
      </x:c>
      <x:c r="Q36" s="74" t="n">
        <x:f>IF(P36="","",ABS(P36))</x:f>
        <x:v>1.1199999999999997</x:v>
      </x:c>
      <x:c r="R36" s="75" t="n">
        <x:f>IF(Q36="","",Q36/B36*100)</x:f>
        <x:v>28.717948717948712</x:v>
      </x:c>
      <x:c r="S36" s="74" t="n">
        <x:v>5.64</x:v>
      </x:c>
      <x:c r="T36" s="74" t="n">
        <x:f>IF(S36="","",S36-B36)</x:f>
        <x:v>1.7399999999999998</x:v>
      </x:c>
      <x:c r="U36" s="74" t="n">
        <x:f>IF(T36="","",ABS(T36))</x:f>
        <x:v>1.7399999999999998</x:v>
      </x:c>
      <x:c r="V36" s="75" t="n">
        <x:f>IF(U36="","",U36/B36*100)</x:f>
        <x:v>44.61538461538461</x:v>
      </x:c>
      <x:c r="W36" s="73" t="str">
        <x:f>IF(G36&lt;&gt;"","Genus",IF(K36&lt;&gt;"","Family",IF(O36&lt;&gt;"","Ecological proxy",IF(S36&lt;&gt;"","Broad","No fallback"))))</x:f>
        <x:v>Family</x:v>
      </x:c>
      <x:c r="X36" s="74" t="n">
        <x:f>IF(G36&lt;&gt;"",G36,IF(K36&lt;&gt;"",K36,IF(O36&lt;&gt;"",O36,IF(S36&lt;&gt;"",S36,""))))</x:f>
        <x:v>4.85</x:v>
      </x:c>
      <x:c r="Y36" s="74" t="n">
        <x:f>IF(X36="","",X36-B36)</x:f>
        <x:v>0.9499999999999997</x:v>
      </x:c>
      <x:c r="Z36" s="74" t="n">
        <x:f>IF(Y36="","",ABS(Y36))</x:f>
        <x:v>0.9499999999999997</x:v>
      </x:c>
      <x:c r="AA36" s="75" t="n">
        <x:f>IF(Z36="","",Z36/B36*100)</x:f>
        <x:v>24.358974358974354</x:v>
      </x:c>
      <x:c r="AB36" s="73" t="str"/>
    </x:row>
    <x:row r="37" ht="39.599998474121094" hidden="0" customHeight="1">
      <x:c r="A37" s="80" t="str">
        <x:v>Pollachius pollachius</x:v>
      </x:c>
      <x:c r="B37" s="74" t="n">
        <x:v>4.2</x:v>
      </x:c>
      <x:c r="C37" s="73" t="str">
        <x:v>Pollachius</x:v>
      </x:c>
      <x:c r="D37" s="73" t="str">
        <x:v>Gadidae</x:v>
      </x:c>
      <x:c r="E37" s="73" t="str">
        <x:v>Other demersal fishes</x:v>
      </x:c>
      <x:c r="F37" s="73" t="str">
        <x:v>Teleostei</x:v>
      </x:c>
      <x:c r="G37" s="74"/>
      <x:c r="H37" s="74" t="str">
        <x:f>IF(G37="","",G37-B37)</x:f>
      </x:c>
      <x:c r="I37" s="74" t="str">
        <x:f>IF(H37="","",ABS(H37))</x:f>
      </x:c>
      <x:c r="J37" s="75" t="str">
        <x:f>IF(I37="","",I37/B37*100)</x:f>
      </x:c>
      <x:c r="K37" s="74" t="n">
        <x:v>4.85</x:v>
      </x:c>
      <x:c r="L37" s="74" t="n">
        <x:f>IF(K37="","",K37-B37)</x:f>
        <x:v>0.6499999999999995</x:v>
      </x:c>
      <x:c r="M37" s="74" t="n">
        <x:f>IF(L37="","",ABS(L37))</x:f>
        <x:v>0.6499999999999995</x:v>
      </x:c>
      <x:c r="N37" s="75" t="n">
        <x:f>IF(M37="","",M37/B37*100)</x:f>
        <x:v>15.476190476190462</x:v>
      </x:c>
      <x:c r="O37" s="74" t="n">
        <x:v>5.02</x:v>
      </x:c>
      <x:c r="P37" s="74" t="n">
        <x:f>IF(O37="","",O37-B37)</x:f>
        <x:v>0.8199999999999994</x:v>
      </x:c>
      <x:c r="Q37" s="74" t="n">
        <x:f>IF(P37="","",ABS(P37))</x:f>
        <x:v>0.8199999999999994</x:v>
      </x:c>
      <x:c r="R37" s="75" t="n">
        <x:f>IF(Q37="","",Q37/B37*100)</x:f>
        <x:v>19.52380952380951</x:v>
      </x:c>
      <x:c r="S37" s="74" t="n">
        <x:v>5.64</x:v>
      </x:c>
      <x:c r="T37" s="74" t="n">
        <x:f>IF(S37="","",S37-B37)</x:f>
        <x:v>1.4399999999999995</x:v>
      </x:c>
      <x:c r="U37" s="74" t="n">
        <x:f>IF(T37="","",ABS(T37))</x:f>
        <x:v>1.4399999999999995</x:v>
      </x:c>
      <x:c r="V37" s="75" t="n">
        <x:f>IF(U37="","",U37/B37*100)</x:f>
        <x:v>34.28571428571428</x:v>
      </x:c>
      <x:c r="W37" s="73" t="str">
        <x:f>IF(G37&lt;&gt;"","Genus",IF(K37&lt;&gt;"","Family",IF(O37&lt;&gt;"","Ecological proxy",IF(S37&lt;&gt;"","Broad","No fallback"))))</x:f>
        <x:v>Family</x:v>
      </x:c>
      <x:c r="X37" s="74" t="n">
        <x:f>IF(G37&lt;&gt;"",G37,IF(K37&lt;&gt;"",K37,IF(O37&lt;&gt;"",O37,IF(S37&lt;&gt;"",S37,""))))</x:f>
        <x:v>4.85</x:v>
      </x:c>
      <x:c r="Y37" s="74" t="n">
        <x:f>IF(X37="","",X37-B37)</x:f>
        <x:v>0.6499999999999995</x:v>
      </x:c>
      <x:c r="Z37" s="74" t="n">
        <x:f>IF(Y37="","",ABS(Y37))</x:f>
        <x:v>0.6499999999999995</x:v>
      </x:c>
      <x:c r="AA37" s="75" t="n">
        <x:f>IF(Z37="","",Z37/B37*100)</x:f>
        <x:v>15.476190476190462</x:v>
      </x:c>
      <x:c r="AB37" s="73" t="str"/>
    </x:row>
    <x:row r="38" ht="39.599998474121094" hidden="0" customHeight="1">
      <x:c r="A38" s="80" t="str">
        <x:v>Micromesistius poutassou</x:v>
      </x:c>
      <x:c r="B38" s="74" t="n">
        <x:v>4.4</x:v>
      </x:c>
      <x:c r="C38" s="73" t="str">
        <x:v>Micromesistius</x:v>
      </x:c>
      <x:c r="D38" s="73" t="str">
        <x:v>Gadidae</x:v>
      </x:c>
      <x:c r="E38" s="73" t="str">
        <x:v>Other demersal fishes</x:v>
      </x:c>
      <x:c r="F38" s="73" t="str">
        <x:v>Teleostei</x:v>
      </x:c>
      <x:c r="G38" s="74"/>
      <x:c r="H38" s="74" t="str">
        <x:f>IF(G38="","",G38-B38)</x:f>
      </x:c>
      <x:c r="I38" s="74" t="str">
        <x:f>IF(H38="","",ABS(H38))</x:f>
      </x:c>
      <x:c r="J38" s="75" t="str">
        <x:f>IF(I38="","",I38/B38*100)</x:f>
      </x:c>
      <x:c r="K38" s="74" t="n">
        <x:v>4.85</x:v>
      </x:c>
      <x:c r="L38" s="74" t="n">
        <x:f>IF(K38="","",K38-B38)</x:f>
        <x:v>0.4499999999999993</x:v>
      </x:c>
      <x:c r="M38" s="74" t="n">
        <x:f>IF(L38="","",ABS(L38))</x:f>
        <x:v>0.4499999999999993</x:v>
      </x:c>
      <x:c r="N38" s="75" t="n">
        <x:f>IF(M38="","",M38/B38*100)</x:f>
        <x:v>10.22727272727271</x:v>
      </x:c>
      <x:c r="O38" s="74" t="n">
        <x:v>5.02</x:v>
      </x:c>
      <x:c r="P38" s="74" t="n">
        <x:f>IF(O38="","",O38-B38)</x:f>
        <x:v>0.6199999999999992</x:v>
      </x:c>
      <x:c r="Q38" s="74" t="n">
        <x:f>IF(P38="","",ABS(P38))</x:f>
        <x:v>0.6199999999999992</x:v>
      </x:c>
      <x:c r="R38" s="75" t="n">
        <x:f>IF(Q38="","",Q38/B38*100)</x:f>
        <x:v>14.09090909090907</x:v>
      </x:c>
      <x:c r="S38" s="74" t="n">
        <x:v>5.64</x:v>
      </x:c>
      <x:c r="T38" s="74" t="n">
        <x:f>IF(S38="","",S38-B38)</x:f>
        <x:v>1.2399999999999993</x:v>
      </x:c>
      <x:c r="U38" s="74" t="n">
        <x:f>IF(T38="","",ABS(T38))</x:f>
        <x:v>1.2399999999999993</x:v>
      </x:c>
      <x:c r="V38" s="75" t="n">
        <x:f>IF(U38="","",U38/B38*100)</x:f>
        <x:v>28.181818181818162</x:v>
      </x:c>
      <x:c r="W38" s="73" t="str">
        <x:f>IF(G38&lt;&gt;"","Genus",IF(K38&lt;&gt;"","Family",IF(O38&lt;&gt;"","Ecological proxy",IF(S38&lt;&gt;"","Broad","No fallback"))))</x:f>
        <x:v>Family</x:v>
      </x:c>
      <x:c r="X38" s="74" t="n">
        <x:f>IF(G38&lt;&gt;"",G38,IF(K38&lt;&gt;"",K38,IF(O38&lt;&gt;"",O38,IF(S38&lt;&gt;"",S38,""))))</x:f>
        <x:v>4.85</x:v>
      </x:c>
      <x:c r="Y38" s="74" t="n">
        <x:f>IF(X38="","",X38-B38)</x:f>
        <x:v>0.4499999999999993</x:v>
      </x:c>
      <x:c r="Z38" s="74" t="n">
        <x:f>IF(Y38="","",ABS(Y38))</x:f>
        <x:v>0.4499999999999993</x:v>
      </x:c>
      <x:c r="AA38" s="75" t="n">
        <x:f>IF(Z38="","",Z38/B38*100)</x:f>
        <x:v>10.22727272727271</x:v>
      </x:c>
      <x:c r="AB38" s="73" t="str"/>
    </x:row>
    <x:row r="39" ht="39.599998474121094" hidden="0" customHeight="1">
      <x:c r="A39" s="80" t="str">
        <x:v>Trisopterus luscus</x:v>
      </x:c>
      <x:c r="B39" s="74" t="n">
        <x:v>4.7</x:v>
      </x:c>
      <x:c r="C39" s="73" t="str">
        <x:v>Trisopterus</x:v>
      </x:c>
      <x:c r="D39" s="73" t="str">
        <x:v>Gadidae</x:v>
      </x:c>
      <x:c r="E39" s="73" t="str">
        <x:v>Other demersal fishes</x:v>
      </x:c>
      <x:c r="F39" s="73" t="str">
        <x:v>Teleostei</x:v>
      </x:c>
      <x:c r="G39" s="74" t="n">
        <x:v>5.1</x:v>
      </x:c>
      <x:c r="H39" s="74" t="n">
        <x:f>IF(G39="","",G39-B39)</x:f>
        <x:v>0.39999999999999947</x:v>
      </x:c>
      <x:c r="I39" s="74" t="n">
        <x:f>IF(H39="","",ABS(H39))</x:f>
        <x:v>0.39999999999999947</x:v>
      </x:c>
      <x:c r="J39" s="75" t="n">
        <x:f>IF(I39="","",I39/B39*100)</x:f>
        <x:v>8.51063829787233</x:v>
      </x:c>
      <x:c r="K39" s="74" t="n">
        <x:v>4.7</x:v>
      </x:c>
      <x:c r="L39" s="74" t="n">
        <x:f>IF(K39="","",K39-B39)</x:f>
        <x:v>0</x:v>
      </x:c>
      <x:c r="M39" s="74" t="str">
        <x:f>IF(L39="","",ABS(L39))</x:f>
      </x:c>
      <x:c r="N39" s="75" t="str">
        <x:f>IF(M39="","",M39/B39*100)</x:f>
      </x:c>
      <x:c r="O39" s="74" t="n">
        <x:v>5.02</x:v>
      </x:c>
      <x:c r="P39" s="74" t="n">
        <x:f>IF(O39="","",O39-B39)</x:f>
        <x:v>0.3199999999999994</x:v>
      </x:c>
      <x:c r="Q39" s="74" t="n">
        <x:f>IF(P39="","",ABS(P39))</x:f>
        <x:v>0.3199999999999994</x:v>
      </x:c>
      <x:c r="R39" s="75" t="n">
        <x:f>IF(Q39="","",Q39/B39*100)</x:f>
        <x:v>6.808510638297858</x:v>
      </x:c>
      <x:c r="S39" s="74" t="n">
        <x:v>5.64</x:v>
      </x:c>
      <x:c r="T39" s="74" t="n">
        <x:f>IF(S39="","",S39-B39)</x:f>
        <x:v>0.9399999999999995</x:v>
      </x:c>
      <x:c r="U39" s="74" t="n">
        <x:f>IF(T39="","",ABS(T39))</x:f>
        <x:v>0.9399999999999995</x:v>
      </x:c>
      <x:c r="V39" s="75" t="n">
        <x:f>IF(U39="","",U39/B39*100)</x:f>
        <x:v>19.99999999999999</x:v>
      </x:c>
      <x:c r="W39" s="73" t="str">
        <x:f>IF(G39&lt;&gt;"","Genus",IF(K39&lt;&gt;"","Family",IF(O39&lt;&gt;"","Ecological proxy",IF(S39&lt;&gt;"","Broad","No fallback"))))</x:f>
        <x:v>Genus</x:v>
      </x:c>
      <x:c r="X39" s="74" t="n">
        <x:f>IF(G39&lt;&gt;"",G39,IF(K39&lt;&gt;"",K39,IF(O39&lt;&gt;"",O39,IF(S39&lt;&gt;"",S39,""))))</x:f>
        <x:v>5.1</x:v>
      </x:c>
      <x:c r="Y39" s="74" t="n">
        <x:f>IF(X39="","",X39-B39)</x:f>
        <x:v>0.39999999999999947</x:v>
      </x:c>
      <x:c r="Z39" s="74" t="n">
        <x:f>IF(Y39="","",ABS(Y39))</x:f>
        <x:v>0.39999999999999947</x:v>
      </x:c>
      <x:c r="AA39" s="75" t="n">
        <x:f>IF(Z39="","",Z39/B39*100)</x:f>
        <x:v>8.51063829787233</x:v>
      </x:c>
      <x:c r="AB39" s="73" t="str"/>
    </x:row>
    <x:row r="40" ht="39.599998474121094" hidden="0" customHeight="1">
      <x:c r="A40" s="80" t="str">
        <x:v>Gadiculus argenteus</x:v>
      </x:c>
      <x:c r="B40" s="74" t="n">
        <x:v>5</x:v>
      </x:c>
      <x:c r="C40" s="73" t="str">
        <x:v>Gadiculus</x:v>
      </x:c>
      <x:c r="D40" s="73" t="str">
        <x:v>Gadidae</x:v>
      </x:c>
      <x:c r="E40" s="73" t="str">
        <x:v>Other demersal fishes</x:v>
      </x:c>
      <x:c r="F40" s="73" t="str">
        <x:v>Teleostei</x:v>
      </x:c>
      <x:c r="G40" s="74"/>
      <x:c r="H40" s="74" t="str">
        <x:f>IF(G40="","",G40-B40)</x:f>
      </x:c>
      <x:c r="I40" s="74" t="str">
        <x:f>IF(H40="","",ABS(H40))</x:f>
      </x:c>
      <x:c r="J40" s="75" t="str">
        <x:f>IF(I40="","",I40/B40*100)</x:f>
      </x:c>
      <x:c r="K40" s="74" t="n">
        <x:v>4.550000000000001</x:v>
      </x:c>
      <x:c r="L40" s="74" t="n">
        <x:f>IF(K40="","",K40-B40)</x:f>
        <x:v>-0.4499999999999993</x:v>
      </x:c>
      <x:c r="M40" s="74" t="n">
        <x:f>IF(L40="","",ABS(L40))</x:f>
        <x:v>0.4499999999999993</x:v>
      </x:c>
      <x:c r="N40" s="75" t="n">
        <x:f>IF(M40="","",M40/B40*100)</x:f>
        <x:v>8.999999999999986</x:v>
      </x:c>
      <x:c r="O40" s="74" t="n">
        <x:v>5.02</x:v>
      </x:c>
      <x:c r="P40" s="74" t="n">
        <x:f>IF(O40="","",O40-B40)</x:f>
        <x:v>0.019999999999999574</x:v>
      </x:c>
      <x:c r="Q40" s="74" t="n">
        <x:f>IF(P40="","",ABS(P40))</x:f>
        <x:v>0.019999999999999574</x:v>
      </x:c>
      <x:c r="R40" s="75" t="n">
        <x:f>IF(Q40="","",Q40/B40*100)</x:f>
        <x:v>0.39999999999999153</x:v>
      </x:c>
      <x:c r="S40" s="74" t="n">
        <x:v>5.64</x:v>
      </x:c>
      <x:c r="T40" s="74" t="n">
        <x:f>IF(S40="","",S40-B40)</x:f>
        <x:v>0.6399999999999997</x:v>
      </x:c>
      <x:c r="U40" s="74" t="n">
        <x:f>IF(T40="","",ABS(T40))</x:f>
        <x:v>0.6399999999999997</x:v>
      </x:c>
      <x:c r="V40" s="75" t="n">
        <x:f>IF(U40="","",U40/B40*100)</x:f>
        <x:v>12.799999999999995</x:v>
      </x:c>
      <x:c r="W40" s="73" t="str">
        <x:f>IF(G40&lt;&gt;"","Genus",IF(K40&lt;&gt;"","Family",IF(O40&lt;&gt;"","Ecological proxy",IF(S40&lt;&gt;"","Broad","No fallback"))))</x:f>
        <x:v>Family</x:v>
      </x:c>
      <x:c r="X40" s="74" t="n">
        <x:f>IF(G40&lt;&gt;"",G40,IF(K40&lt;&gt;"",K40,IF(O40&lt;&gt;"",O40,IF(S40&lt;&gt;"",S40,""))))</x:f>
        <x:v>4.550000000000001</x:v>
      </x:c>
      <x:c r="Y40" s="74" t="n">
        <x:f>IF(X40="","",X40-B40)</x:f>
        <x:v>-0.4499999999999993</x:v>
      </x:c>
      <x:c r="Z40" s="74" t="n">
        <x:f>IF(Y40="","",ABS(Y40))</x:f>
        <x:v>0.4499999999999993</x:v>
      </x:c>
      <x:c r="AA40" s="75" t="n">
        <x:f>IF(Z40="","",Z40/B40*100)</x:f>
        <x:v>8.999999999999986</x:v>
      </x:c>
      <x:c r="AB40" s="73" t="str"/>
    </x:row>
    <x:row r="41" ht="39.599998474121094" hidden="0" customHeight="1">
      <x:c r="A41" s="80" t="str">
        <x:v>Trisopterus minutus</x:v>
      </x:c>
      <x:c r="B41" s="74" t="n">
        <x:v>5.1</x:v>
      </x:c>
      <x:c r="C41" s="73" t="str">
        <x:v>Trisopterus</x:v>
      </x:c>
      <x:c r="D41" s="73" t="str">
        <x:v>Gadidae</x:v>
      </x:c>
      <x:c r="E41" s="73" t="str">
        <x:v>Other demersal fishes</x:v>
      </x:c>
      <x:c r="F41" s="73" t="str">
        <x:v>Teleostei</x:v>
      </x:c>
      <x:c r="G41" s="74" t="n">
        <x:v>4.7</x:v>
      </x:c>
      <x:c r="H41" s="74" t="n">
        <x:f>IF(G41="","",G41-B41)</x:f>
        <x:v>-0.39999999999999947</x:v>
      </x:c>
      <x:c r="I41" s="74" t="n">
        <x:f>IF(H41="","",ABS(H41))</x:f>
        <x:v>0.39999999999999947</x:v>
      </x:c>
      <x:c r="J41" s="75" t="n">
        <x:f>IF(I41="","",I41/B41*100)</x:f>
        <x:v>7.843137254901951</x:v>
      </x:c>
      <x:c r="K41" s="74" t="n">
        <x:v>4.550000000000001</x:v>
      </x:c>
      <x:c r="L41" s="74" t="n">
        <x:f>IF(K41="","",K41-B41)</x:f>
        <x:v>-0.5499999999999989</x:v>
      </x:c>
      <x:c r="M41" s="74" t="n">
        <x:f>IF(L41="","",ABS(L41))</x:f>
        <x:v>0.5499999999999989</x:v>
      </x:c>
      <x:c r="N41" s="75" t="n">
        <x:f>IF(M41="","",M41/B41*100)</x:f>
        <x:v>10.784313725490176</x:v>
      </x:c>
      <x:c r="O41" s="74" t="n">
        <x:v>5</x:v>
      </x:c>
      <x:c r="P41" s="74" t="n">
        <x:f>IF(O41="","",O41-B41)</x:f>
        <x:v>-0.09999999999999964</x:v>
      </x:c>
      <x:c r="Q41" s="74" t="n">
        <x:f>IF(P41="","",ABS(P41))</x:f>
        <x:v>0.09999999999999964</x:v>
      </x:c>
      <x:c r="R41" s="75" t="n">
        <x:f>IF(Q41="","",Q41/B41*100)</x:f>
        <x:v>1.9607843137254832</x:v>
      </x:c>
      <x:c r="S41" s="74" t="n">
        <x:v>5.64</x:v>
      </x:c>
      <x:c r="T41" s="74" t="n">
        <x:f>IF(S41="","",S41-B41)</x:f>
        <x:v>0.54</x:v>
      </x:c>
      <x:c r="U41" s="74" t="n">
        <x:f>IF(T41="","",ABS(T41))</x:f>
        <x:v>0.54</x:v>
      </x:c>
      <x:c r="V41" s="75" t="n">
        <x:f>IF(U41="","",U41/B41*100)</x:f>
        <x:v>10.588235294117649</x:v>
      </x:c>
      <x:c r="W41" s="73" t="str">
        <x:f>IF(G41&lt;&gt;"","Genus",IF(K41&lt;&gt;"","Family",IF(O41&lt;&gt;"","Ecological proxy",IF(S41&lt;&gt;"","Broad","No fallback"))))</x:f>
        <x:v>Genus</x:v>
      </x:c>
      <x:c r="X41" s="74" t="n">
        <x:f>IF(G41&lt;&gt;"",G41,IF(K41&lt;&gt;"",K41,IF(O41&lt;&gt;"",O41,IF(S41&lt;&gt;"",S41,""))))</x:f>
        <x:v>4.7</x:v>
      </x:c>
      <x:c r="Y41" s="74" t="n">
        <x:f>IF(X41="","",X41-B41)</x:f>
        <x:v>-0.39999999999999947</x:v>
      </x:c>
      <x:c r="Z41" s="74" t="n">
        <x:f>IF(Y41="","",ABS(Y41))</x:f>
        <x:v>0.39999999999999947</x:v>
      </x:c>
      <x:c r="AA41" s="75" t="n">
        <x:f>IF(Z41="","",Z41/B41*100)</x:f>
        <x:v>7.843137254901951</x:v>
      </x:c>
      <x:c r="AB41" s="73" t="str"/>
    </x:row>
    <x:row r="42" ht="39.599998474121094" hidden="0" customHeight="1">
      <x:c r="A42" s="80" t="str">
        <x:v>Phycis blennoides</x:v>
      </x:c>
      <x:c r="B42" s="74" t="n">
        <x:v>5</x:v>
      </x:c>
      <x:c r="C42" s="73" t="str">
        <x:v>Phycis</x:v>
      </x:c>
      <x:c r="D42" s="73" t="str">
        <x:v>Phycidae</x:v>
      </x:c>
      <x:c r="E42" s="73" t="str">
        <x:v>Unclassified teleosts</x:v>
      </x:c>
      <x:c r="F42" s="73" t="str">
        <x:v>Teleostei</x:v>
      </x:c>
      <x:c r="G42" s="74"/>
      <x:c r="H42" s="74" t="str">
        <x:f>IF(G42="","",G42-B42)</x:f>
      </x:c>
      <x:c r="I42" s="74" t="str">
        <x:f>IF(H42="","",ABS(H42))</x:f>
      </x:c>
      <x:c r="J42" s="75" t="str">
        <x:f>IF(I42="","",I42/B42*100)</x:f>
      </x:c>
      <x:c r="K42" s="74"/>
      <x:c r="L42" s="74" t="str">
        <x:f>IF(K42="","",K42-B42)</x:f>
      </x:c>
      <x:c r="M42" s="74" t="str">
        <x:f>IF(L42="","",ABS(L42))</x:f>
      </x:c>
      <x:c r="N42" s="75" t="str">
        <x:f>IF(M42="","",M42/B42*100)</x:f>
      </x:c>
      <x:c r="O42" s="74" t="n">
        <x:v>4.92</x:v>
      </x:c>
      <x:c r="P42" s="74" t="n">
        <x:f>IF(O42="","",O42-B42)</x:f>
        <x:v>-0.08000000000000007</x:v>
      </x:c>
      <x:c r="Q42" s="74" t="n">
        <x:f>IF(P42="","",ABS(P42))</x:f>
        <x:v>0.08000000000000007</x:v>
      </x:c>
      <x:c r="R42" s="75" t="n">
        <x:f>IF(Q42="","",Q42/B42*100)</x:f>
        <x:v>1.6000000000000014</x:v>
      </x:c>
      <x:c r="S42" s="74" t="n">
        <x:v>5.64</x:v>
      </x:c>
      <x:c r="T42" s="74" t="n">
        <x:f>IF(S42="","",S42-B42)</x:f>
        <x:v>0.6399999999999997</x:v>
      </x:c>
      <x:c r="U42" s="74" t="n">
        <x:f>IF(T42="","",ABS(T42))</x:f>
        <x:v>0.6399999999999997</x:v>
      </x:c>
      <x:c r="V42" s="75" t="n">
        <x:f>IF(U42="","",U42/B42*100)</x:f>
        <x:v>12.799999999999995</x:v>
      </x:c>
      <x:c r="W42" s="73" t="str">
        <x:f>IF(G42&lt;&gt;"","Genus",IF(K42&lt;&gt;"","Family",IF(O42&lt;&gt;"","Ecological proxy",IF(S42&lt;&gt;"","Broad","No fallback"))))</x:f>
        <x:v>Ecological proxy</x:v>
      </x:c>
      <x:c r="X42" s="74" t="n">
        <x:f>IF(G42&lt;&gt;"",G42,IF(K42&lt;&gt;"",K42,IF(O42&lt;&gt;"",O42,IF(S42&lt;&gt;"",S42,""))))</x:f>
        <x:v>4.92</x:v>
      </x:c>
      <x:c r="Y42" s="74" t="n">
        <x:f>IF(X42="","",X42-B42)</x:f>
        <x:v>-0.08000000000000007</x:v>
      </x:c>
      <x:c r="Z42" s="74" t="n">
        <x:f>IF(Y42="","",ABS(Y42))</x:f>
        <x:v>0.08000000000000007</x:v>
      </x:c>
      <x:c r="AA42" s="75" t="n">
        <x:f>IF(Z42="","",Z42/B42*100)</x:f>
        <x:v>1.6000000000000014</x:v>
      </x:c>
      <x:c r="AB42" s="73" t="str"/>
    </x:row>
    <x:row r="43" ht="39.599998474121094" hidden="0" customHeight="1">
      <x:c r="A43" s="80" t="str">
        <x:v>Merluccius merluccius</x:v>
      </x:c>
      <x:c r="B43" s="74" t="n">
        <x:v>3.7</x:v>
      </x:c>
      <x:c r="C43" s="73" t="str">
        <x:v>Merluccius</x:v>
      </x:c>
      <x:c r="D43" s="73" t="str">
        <x:v>Merlucciidae</x:v>
      </x:c>
      <x:c r="E43" s="73" t="str">
        <x:v>Other demersal fishes</x:v>
      </x:c>
      <x:c r="F43" s="73" t="str">
        <x:v>Teleostei</x:v>
      </x:c>
      <x:c r="G43" s="74" t="n">
        <x:v>4.28</x:v>
      </x:c>
      <x:c r="H43" s="74" t="n">
        <x:f>IF(G43="","",G43-B43)</x:f>
        <x:v>0.5800000000000001</x:v>
      </x:c>
      <x:c r="I43" s="74" t="n">
        <x:f>IF(H43="","",ABS(H43))</x:f>
        <x:v>0.5800000000000001</x:v>
      </x:c>
      <x:c r="J43" s="75" t="n">
        <x:f>IF(I43="","",I43/B43*100)</x:f>
        <x:v>15.675675675675677</x:v>
      </x:c>
      <x:c r="K43" s="74" t="n">
        <x:v>4.28</x:v>
      </x:c>
      <x:c r="L43" s="74" t="n">
        <x:f>IF(K43="","",K43-B43)</x:f>
        <x:v>0.5800000000000001</x:v>
      </x:c>
      <x:c r="M43" s="74" t="n">
        <x:f>IF(L43="","",ABS(L43))</x:f>
        <x:v>0.5800000000000001</x:v>
      </x:c>
      <x:c r="N43" s="75" t="n">
        <x:f>IF(M43="","",M43/B43*100)</x:f>
        <x:v>15.675675675675677</x:v>
      </x:c>
      <x:c r="O43" s="74" t="n">
        <x:v>5.02</x:v>
      </x:c>
      <x:c r="P43" s="74" t="n">
        <x:f>IF(O43="","",O43-B43)</x:f>
        <x:v>1.3199999999999994</x:v>
      </x:c>
      <x:c r="Q43" s="74" t="n">
        <x:f>IF(P43="","",ABS(P43))</x:f>
        <x:v>1.3199999999999994</x:v>
      </x:c>
      <x:c r="R43" s="75" t="n">
        <x:f>IF(Q43="","",Q43/B43*100)</x:f>
        <x:v>35.675675675675656</x:v>
      </x:c>
      <x:c r="S43" s="74" t="n">
        <x:v>5.64</x:v>
      </x:c>
      <x:c r="T43" s="74" t="n">
        <x:f>IF(S43="","",S43-B43)</x:f>
        <x:v>1.9399999999999995</x:v>
      </x:c>
      <x:c r="U43" s="74" t="n">
        <x:f>IF(T43="","",ABS(T43))</x:f>
        <x:v>1.9399999999999995</x:v>
      </x:c>
      <x:c r="V43" s="75" t="n">
        <x:f>IF(U43="","",U43/B43*100)</x:f>
        <x:v>52.43243243243242</x:v>
      </x:c>
      <x:c r="W43" s="73" t="str">
        <x:f>IF(G43&lt;&gt;"","Genus",IF(K43&lt;&gt;"","Family",IF(O43&lt;&gt;"","Ecological proxy",IF(S43&lt;&gt;"","Broad","No fallback"))))</x:f>
        <x:v>Genus</x:v>
      </x:c>
      <x:c r="X43" s="74" t="n">
        <x:f>IF(G43&lt;&gt;"",G43,IF(K43&lt;&gt;"",K43,IF(O43&lt;&gt;"",O43,IF(S43&lt;&gt;"",S43,""))))</x:f>
        <x:v>4.28</x:v>
      </x:c>
      <x:c r="Y43" s="74" t="n">
        <x:f>IF(X43="","",X43-B43)</x:f>
        <x:v>0.5800000000000001</x:v>
      </x:c>
      <x:c r="Z43" s="74" t="n">
        <x:f>IF(Y43="","",ABS(Y43))</x:f>
        <x:v>0.5800000000000001</x:v>
      </x:c>
      <x:c r="AA43" s="75" t="n">
        <x:f>IF(Z43="","",Z43/B43*100)</x:f>
        <x:v>15.675675675675677</x:v>
      </x:c>
      <x:c r="AB43" s="73" t="str"/>
    </x:row>
    <x:row r="44" ht="52.79999923706055" hidden="0" customHeight="1">
      <x:c r="A44" s="80" t="str">
        <x:v>Atherina presbyter</x:v>
      </x:c>
      <x:c r="B44" s="74" t="n">
        <x:v>7.3</x:v>
      </x:c>
      <x:c r="C44" s="73" t="str">
        <x:v>Atherina</x:v>
      </x:c>
      <x:c r="D44" s="73" t="str">
        <x:v>Atherinidae</x:v>
      </x:c>
      <x:c r="E44" s="73" t="str">
        <x:v>Small pelagic forage fishes</x:v>
      </x:c>
      <x:c r="F44" s="73" t="str">
        <x:v>Teleostei</x:v>
      </x:c>
      <x:c r="G44" s="74"/>
      <x:c r="H44" s="74" t="str">
        <x:f>IF(G44="","",G44-B44)</x:f>
      </x:c>
      <x:c r="I44" s="74" t="str">
        <x:f>IF(H44="","",ABS(H44))</x:f>
      </x:c>
      <x:c r="J44" s="75" t="str">
        <x:f>IF(I44="","",I44/B44*100)</x:f>
      </x:c>
      <x:c r="K44" s="74" t="n">
        <x:v>4.23</x:v>
      </x:c>
      <x:c r="L44" s="74" t="n">
        <x:f>IF(K44="","",K44-B44)</x:f>
        <x:v>-3.0699999999999994</x:v>
      </x:c>
      <x:c r="M44" s="74" t="n">
        <x:f>IF(L44="","",ABS(L44))</x:f>
        <x:v>3.0699999999999994</x:v>
      </x:c>
      <x:c r="N44" s="75" t="n">
        <x:f>IF(M44="","",M44/B44*100)</x:f>
        <x:v>42.05479452054794</x:v>
      </x:c>
      <x:c r="O44" s="74" t="n">
        <x:v>6.74</x:v>
      </x:c>
      <x:c r="P44" s="74" t="n">
        <x:f>IF(O44="","",O44-B44)</x:f>
        <x:v>-0.5599999999999996</x:v>
      </x:c>
      <x:c r="Q44" s="74" t="n">
        <x:f>IF(P44="","",ABS(P44))</x:f>
        <x:v>0.5599999999999996</x:v>
      </x:c>
      <x:c r="R44" s="75" t="n">
        <x:f>IF(Q44="","",Q44/B44*100)</x:f>
        <x:v>7.671232876712324</x:v>
      </x:c>
      <x:c r="S44" s="74" t="n">
        <x:v>5.6</x:v>
      </x:c>
      <x:c r="T44" s="74" t="n">
        <x:f>IF(S44="","",S44-B44)</x:f>
        <x:v>-1.7000000000000002</x:v>
      </x:c>
      <x:c r="U44" s="74" t="n">
        <x:f>IF(T44="","",ABS(T44))</x:f>
        <x:v>1.7000000000000002</x:v>
      </x:c>
      <x:c r="V44" s="75" t="n">
        <x:f>IF(U44="","",U44/B44*100)</x:f>
        <x:v>23.28767123287672</x:v>
      </x:c>
      <x:c r="W44" s="73" t="str">
        <x:f>IF(G44&lt;&gt;"","Genus",IF(K44&lt;&gt;"","Family",IF(O44&lt;&gt;"","Ecological proxy",IF(S44&lt;&gt;"","Broad","No fallback"))))</x:f>
        <x:v>Family</x:v>
      </x:c>
      <x:c r="X44" s="74" t="n">
        <x:f>IF(G44&lt;&gt;"",G44,IF(K44&lt;&gt;"",K44,IF(O44&lt;&gt;"",O44,IF(S44&lt;&gt;"",S44,""))))</x:f>
        <x:v>4.23</x:v>
      </x:c>
      <x:c r="Y44" s="74" t="n">
        <x:f>IF(X44="","",X44-B44)</x:f>
        <x:v>-3.0699999999999994</x:v>
      </x:c>
      <x:c r="Z44" s="74" t="n">
        <x:f>IF(Y44="","",ABS(Y44))</x:f>
        <x:v>3.0699999999999994</x:v>
      </x:c>
      <x:c r="AA44" s="75" t="n">
        <x:f>IF(Z44="","",Z44/B44*100)</x:f>
        <x:v>42.05479452054794</x:v>
      </x:c>
      <x:c r="AB44" s="73" t="str"/>
    </x:row>
    <x:row r="45" ht="39.599998474121094" hidden="0" customHeight="1">
      <x:c r="A45" s="80" t="str">
        <x:v>Belone belone</x:v>
      </x:c>
      <x:c r="B45" s="74" t="n">
        <x:v>6.2</x:v>
      </x:c>
      <x:c r="C45" s="73" t="str">
        <x:v>Belone</x:v>
      </x:c>
      <x:c r="D45" s="73" t="str">
        <x:v>Belonidae</x:v>
      </x:c>
      <x:c r="E45" s="73" t="str">
        <x:v>Unclassified teleosts</x:v>
      </x:c>
      <x:c r="F45" s="73" t="str">
        <x:v>Teleostei</x:v>
      </x:c>
      <x:c r="G45" s="74"/>
      <x:c r="H45" s="74" t="str">
        <x:f>IF(G45="","",G45-B45)</x:f>
      </x:c>
      <x:c r="I45" s="74" t="str">
        <x:f>IF(H45="","",ABS(H45))</x:f>
      </x:c>
      <x:c r="J45" s="75" t="str">
        <x:f>IF(I45="","",I45/B45*100)</x:f>
      </x:c>
      <x:c r="K45" s="74"/>
      <x:c r="L45" s="74" t="str">
        <x:f>IF(K45="","",K45-B45)</x:f>
      </x:c>
      <x:c r="M45" s="74" t="str">
        <x:f>IF(L45="","",ABS(L45))</x:f>
      </x:c>
      <x:c r="N45" s="75" t="str">
        <x:f>IF(M45="","",M45/B45*100)</x:f>
      </x:c>
      <x:c r="O45" s="74" t="n">
        <x:v>4.92</x:v>
      </x:c>
      <x:c r="P45" s="74" t="n">
        <x:f>IF(O45="","",O45-B45)</x:f>
        <x:v>-1.2800000000000002</x:v>
      </x:c>
      <x:c r="Q45" s="74" t="n">
        <x:f>IF(P45="","",ABS(P45))</x:f>
        <x:v>1.2800000000000002</x:v>
      </x:c>
      <x:c r="R45" s="75" t="n">
        <x:f>IF(Q45="","",Q45/B45*100)</x:f>
        <x:v>20.645161290322584</x:v>
      </x:c>
      <x:c r="S45" s="74" t="n">
        <x:v>5.6</x:v>
      </x:c>
      <x:c r="T45" s="74" t="n">
        <x:f>IF(S45="","",S45-B45)</x:f>
        <x:v>-0.6000000000000005</x:v>
      </x:c>
      <x:c r="U45" s="74" t="n">
        <x:f>IF(T45="","",ABS(T45))</x:f>
        <x:v>0.6000000000000005</x:v>
      </x:c>
      <x:c r="V45" s="75" t="n">
        <x:f>IF(U45="","",U45/B45*100)</x:f>
        <x:v>9.677419354838717</x:v>
      </x:c>
      <x:c r="W45" s="73" t="str">
        <x:f>IF(G45&lt;&gt;"","Genus",IF(K45&lt;&gt;"","Family",IF(O45&lt;&gt;"","Ecological proxy",IF(S45&lt;&gt;"","Broad","No fallback"))))</x:f>
        <x:v>Ecological proxy</x:v>
      </x:c>
      <x:c r="X45" s="74" t="n">
        <x:f>IF(G45&lt;&gt;"",G45,IF(K45&lt;&gt;"",K45,IF(O45&lt;&gt;"",O45,IF(S45&lt;&gt;"",S45,""))))</x:f>
        <x:v>4.92</x:v>
      </x:c>
      <x:c r="Y45" s="74" t="n">
        <x:f>IF(X45="","",X45-B45)</x:f>
        <x:v>-1.2800000000000002</x:v>
      </x:c>
      <x:c r="Z45" s="74" t="n">
        <x:f>IF(Y45="","",ABS(Y45))</x:f>
        <x:v>1.2800000000000002</x:v>
      </x:c>
      <x:c r="AA45" s="75" t="n">
        <x:f>IF(Z45="","",Z45/B45*100)</x:f>
        <x:v>20.645161290322584</x:v>
      </x:c>
      <x:c r="AB45" s="73" t="str"/>
    </x:row>
    <x:row r="46" ht="39.599998474121094" hidden="0" customHeight="1">
      <x:c r="A46" s="80" t="str">
        <x:v>Scomberesox saurus</x:v>
      </x:c>
      <x:c r="B46" s="74" t="n">
        <x:v>5.8</x:v>
      </x:c>
      <x:c r="C46" s="73" t="str">
        <x:v>Scomberesox</x:v>
      </x:c>
      <x:c r="D46" s="73" t="str">
        <x:v>Scomberesocidae</x:v>
      </x:c>
      <x:c r="E46" s="73" t="str">
        <x:v>Unclassified teleosts</x:v>
      </x:c>
      <x:c r="F46" s="73" t="str">
        <x:v>Teleostei</x:v>
      </x:c>
      <x:c r="G46" s="74"/>
      <x:c r="H46" s="74" t="str">
        <x:f>IF(G46="","",G46-B46)</x:f>
      </x:c>
      <x:c r="I46" s="74" t="str">
        <x:f>IF(H46="","",ABS(H46))</x:f>
      </x:c>
      <x:c r="J46" s="75" t="str">
        <x:f>IF(I46="","",I46/B46*100)</x:f>
      </x:c>
      <x:c r="K46" s="74" t="n">
        <x:v>7</x:v>
      </x:c>
      <x:c r="L46" s="74" t="n">
        <x:f>IF(K46="","",K46-B46)</x:f>
        <x:v>1.2000000000000002</x:v>
      </x:c>
      <x:c r="M46" s="74" t="n">
        <x:f>IF(L46="","",ABS(L46))</x:f>
        <x:v>1.2000000000000002</x:v>
      </x:c>
      <x:c r="N46" s="75" t="n">
        <x:f>IF(M46="","",M46/B46*100)</x:f>
        <x:v>20.689655172413797</x:v>
      </x:c>
      <x:c r="O46" s="74" t="n">
        <x:v>4.92</x:v>
      </x:c>
      <x:c r="P46" s="74" t="n">
        <x:f>IF(O46="","",O46-B46)</x:f>
        <x:v>-0.8799999999999999</x:v>
      </x:c>
      <x:c r="Q46" s="74" t="n">
        <x:f>IF(P46="","",ABS(P46))</x:f>
        <x:v>0.8799999999999999</x:v>
      </x:c>
      <x:c r="R46" s="75" t="n">
        <x:f>IF(Q46="","",Q46/B46*100)</x:f>
        <x:v>15.172413793103448</x:v>
      </x:c>
      <x:c r="S46" s="74" t="n">
        <x:v>5.6</x:v>
      </x:c>
      <x:c r="T46" s="74" t="n">
        <x:f>IF(S46="","",S46-B46)</x:f>
        <x:v>-0.20000000000000018</x:v>
      </x:c>
      <x:c r="U46" s="74" t="n">
        <x:f>IF(T46="","",ABS(T46))</x:f>
        <x:v>0.20000000000000018</x:v>
      </x:c>
      <x:c r="V46" s="75" t="n">
        <x:f>IF(U46="","",U46/B46*100)</x:f>
        <x:v>3.448275862068969</x:v>
      </x:c>
      <x:c r="W46" s="73" t="str">
        <x:f>IF(G46&lt;&gt;"","Genus",IF(K46&lt;&gt;"","Family",IF(O46&lt;&gt;"","Ecological proxy",IF(S46&lt;&gt;"","Broad","No fallback"))))</x:f>
        <x:v>Family</x:v>
      </x:c>
      <x:c r="X46" s="74" t="n">
        <x:f>IF(G46&lt;&gt;"",G46,IF(K46&lt;&gt;"",K46,IF(O46&lt;&gt;"",O46,IF(S46&lt;&gt;"",S46,""))))</x:f>
        <x:v>7</x:v>
      </x:c>
      <x:c r="Y46" s="74" t="n">
        <x:f>IF(X46="","",X46-B46)</x:f>
        <x:v>1.2000000000000002</x:v>
      </x:c>
      <x:c r="Z46" s="74" t="n">
        <x:f>IF(Y46="","",ABS(Y46))</x:f>
        <x:v>1.2000000000000002</x:v>
      </x:c>
      <x:c r="AA46" s="75" t="n">
        <x:f>IF(Z46="","",Z46/B46*100)</x:f>
        <x:v>20.689655172413797</x:v>
      </x:c>
      <x:c r="AB46" s="73" t="str"/>
    </x:row>
    <x:row r="47" ht="52.79999923706055" hidden="0" customHeight="1">
      <x:c r="A47" s="80" t="str">
        <x:v>Hoplostethus mediterraneus</x:v>
      </x:c>
      <x:c r="B47" s="74" t="n">
        <x:v>4.7</x:v>
      </x:c>
      <x:c r="C47" s="73" t="str">
        <x:v>Hoplostethus</x:v>
      </x:c>
      <x:c r="D47" s="73" t="str">
        <x:v>Trachichthyidae</x:v>
      </x:c>
      <x:c r="E47" s="73" t="str">
        <x:v>Unclassified teleosts</x:v>
      </x:c>
      <x:c r="F47" s="73" t="str">
        <x:v>Teleostei</x:v>
      </x:c>
      <x:c r="G47" s="74"/>
      <x:c r="H47" s="74" t="str">
        <x:f>IF(G47="","",G47-B47)</x:f>
      </x:c>
      <x:c r="I47" s="74" t="str">
        <x:f>IF(H47="","",ABS(H47))</x:f>
      </x:c>
      <x:c r="J47" s="75" t="str">
        <x:f>IF(I47="","",I47/B47*100)</x:f>
      </x:c>
      <x:c r="K47" s="74"/>
      <x:c r="L47" s="74" t="str">
        <x:f>IF(K47="","",K47-B47)</x:f>
      </x:c>
      <x:c r="M47" s="74" t="str">
        <x:f>IF(L47="","",ABS(L47))</x:f>
      </x:c>
      <x:c r="N47" s="75" t="str">
        <x:f>IF(M47="","",M47/B47*100)</x:f>
      </x:c>
      <x:c r="O47" s="74" t="n">
        <x:v>4.92</x:v>
      </x:c>
      <x:c r="P47" s="74" t="n">
        <x:f>IF(O47="","",O47-B47)</x:f>
        <x:v>0.21999999999999975</x:v>
      </x:c>
      <x:c r="Q47" s="74" t="n">
        <x:f>IF(P47="","",ABS(P47))</x:f>
        <x:v>0.21999999999999975</x:v>
      </x:c>
      <x:c r="R47" s="75" t="n">
        <x:f>IF(Q47="","",Q47/B47*100)</x:f>
        <x:v>4.680851063829781</x:v>
      </x:c>
      <x:c r="S47" s="74" t="n">
        <x:v>5.64</x:v>
      </x:c>
      <x:c r="T47" s="74" t="n">
        <x:f>IF(S47="","",S47-B47)</x:f>
        <x:v>0.9399999999999995</x:v>
      </x:c>
      <x:c r="U47" s="74" t="n">
        <x:f>IF(T47="","",ABS(T47))</x:f>
        <x:v>0.9399999999999995</x:v>
      </x:c>
      <x:c r="V47" s="75" t="n">
        <x:f>IF(U47="","",U47/B47*100)</x:f>
        <x:v>19.99999999999999</x:v>
      </x:c>
      <x:c r="W47" s="73" t="str">
        <x:f>IF(G47&lt;&gt;"","Genus",IF(K47&lt;&gt;"","Family",IF(O47&lt;&gt;"","Ecological proxy",IF(S47&lt;&gt;"","Broad","No fallback"))))</x:f>
        <x:v>Ecological proxy</x:v>
      </x:c>
      <x:c r="X47" s="74" t="n">
        <x:f>IF(G47&lt;&gt;"",G47,IF(K47&lt;&gt;"",K47,IF(O47&lt;&gt;"",O47,IF(S47&lt;&gt;"",S47,""))))</x:f>
        <x:v>4.92</x:v>
      </x:c>
      <x:c r="Y47" s="74" t="n">
        <x:f>IF(X47="","",X47-B47)</x:f>
        <x:v>0.21999999999999975</x:v>
      </x:c>
      <x:c r="Z47" s="74" t="n">
        <x:f>IF(Y47="","",ABS(Y47))</x:f>
        <x:v>0.21999999999999975</x:v>
      </x:c>
      <x:c r="AA47" s="75" t="n">
        <x:f>IF(Z47="","",Z47/B47*100)</x:f>
        <x:v>4.680851063829781</x:v>
      </x:c>
      <x:c r="AB47" s="73" t="str"/>
    </x:row>
    <x:row r="48" ht="39.599998474121094" hidden="0" customHeight="1">
      <x:c r="A48" s="80" t="str">
        <x:v>Capros aper</x:v>
      </x:c>
      <x:c r="B48" s="74" t="n">
        <x:v>6.2</x:v>
      </x:c>
      <x:c r="C48" s="73" t="str">
        <x:v>Capros</x:v>
      </x:c>
      <x:c r="D48" s="73" t="str">
        <x:v>Caproidae</x:v>
      </x:c>
      <x:c r="E48" s="73" t="str">
        <x:v>Unclassified teleosts</x:v>
      </x:c>
      <x:c r="F48" s="73" t="str">
        <x:v>Teleostei</x:v>
      </x:c>
      <x:c r="G48" s="74"/>
      <x:c r="H48" s="74" t="str">
        <x:f>IF(G48="","",G48-B48)</x:f>
      </x:c>
      <x:c r="I48" s="74" t="str">
        <x:f>IF(H48="","",ABS(H48))</x:f>
      </x:c>
      <x:c r="J48" s="75" t="str">
        <x:f>IF(I48="","",I48/B48*100)</x:f>
      </x:c>
      <x:c r="K48" s="74"/>
      <x:c r="L48" s="74" t="str">
        <x:f>IF(K48="","",K48-B48)</x:f>
      </x:c>
      <x:c r="M48" s="74" t="str">
        <x:f>IF(L48="","",ABS(L48))</x:f>
      </x:c>
      <x:c r="N48" s="75" t="str">
        <x:f>IF(M48="","",M48/B48*100)</x:f>
      </x:c>
      <x:c r="O48" s="74" t="n">
        <x:v>4.92</x:v>
      </x:c>
      <x:c r="P48" s="74" t="n">
        <x:f>IF(O48="","",O48-B48)</x:f>
        <x:v>-1.2800000000000002</x:v>
      </x:c>
      <x:c r="Q48" s="74" t="n">
        <x:f>IF(P48="","",ABS(P48))</x:f>
        <x:v>1.2800000000000002</x:v>
      </x:c>
      <x:c r="R48" s="75" t="n">
        <x:f>IF(Q48="","",Q48/B48*100)</x:f>
        <x:v>20.645161290322584</x:v>
      </x:c>
      <x:c r="S48" s="74" t="n">
        <x:v>5.6</x:v>
      </x:c>
      <x:c r="T48" s="74" t="n">
        <x:f>IF(S48="","",S48-B48)</x:f>
        <x:v>-0.6000000000000005</x:v>
      </x:c>
      <x:c r="U48" s="74" t="n">
        <x:f>IF(T48="","",ABS(T48))</x:f>
        <x:v>0.6000000000000005</x:v>
      </x:c>
      <x:c r="V48" s="75" t="n">
        <x:f>IF(U48="","",U48/B48*100)</x:f>
        <x:v>9.677419354838717</x:v>
      </x:c>
      <x:c r="W48" s="73" t="str">
        <x:f>IF(G48&lt;&gt;"","Genus",IF(K48&lt;&gt;"","Family",IF(O48&lt;&gt;"","Ecological proxy",IF(S48&lt;&gt;"","Broad","No fallback"))))</x:f>
        <x:v>Ecological proxy</x:v>
      </x:c>
      <x:c r="X48" s="74" t="n">
        <x:f>IF(G48&lt;&gt;"",G48,IF(K48&lt;&gt;"",K48,IF(O48&lt;&gt;"",O48,IF(S48&lt;&gt;"",S48,""))))</x:f>
        <x:v>4.92</x:v>
      </x:c>
      <x:c r="Y48" s="74" t="n">
        <x:f>IF(X48="","",X48-B48)</x:f>
        <x:v>-1.2800000000000002</x:v>
      </x:c>
      <x:c r="Z48" s="74" t="n">
        <x:f>IF(Y48="","",ABS(Y48))</x:f>
        <x:v>1.2800000000000002</x:v>
      </x:c>
      <x:c r="AA48" s="75" t="n">
        <x:f>IF(Z48="","",Z48/B48*100)</x:f>
        <x:v>20.645161290322584</x:v>
      </x:c>
      <x:c r="AB48" s="73" t="str"/>
    </x:row>
    <x:row r="49" ht="39.599998474121094" hidden="0" customHeight="1">
      <x:c r="A49" s="80" t="str">
        <x:v>Entelurus aequoreus</x:v>
      </x:c>
      <x:c r="B49" s="74" t="n">
        <x:v>4.7</x:v>
      </x:c>
      <x:c r="C49" s="73" t="str">
        <x:v>Entelurus</x:v>
      </x:c>
      <x:c r="D49" s="73" t="str">
        <x:v>Syngnathidae</x:v>
      </x:c>
      <x:c r="E49" s="73" t="str">
        <x:v>Unclassified teleosts</x:v>
      </x:c>
      <x:c r="F49" s="73" t="str">
        <x:v>Teleostei</x:v>
      </x:c>
      <x:c r="G49" s="74"/>
      <x:c r="H49" s="74" t="str">
        <x:f>IF(G49="","",G49-B49)</x:f>
      </x:c>
      <x:c r="I49" s="74" t="str">
        <x:f>IF(H49="","",ABS(H49))</x:f>
      </x:c>
      <x:c r="J49" s="75" t="str">
        <x:f>IF(I49="","",I49/B49*100)</x:f>
      </x:c>
      <x:c r="K49" s="74"/>
      <x:c r="L49" s="74" t="str">
        <x:f>IF(K49="","",K49-B49)</x:f>
      </x:c>
      <x:c r="M49" s="74" t="str">
        <x:f>IF(L49="","",ABS(L49))</x:f>
      </x:c>
      <x:c r="N49" s="75" t="str">
        <x:f>IF(M49="","",M49/B49*100)</x:f>
      </x:c>
      <x:c r="O49" s="74" t="n">
        <x:v>4.92</x:v>
      </x:c>
      <x:c r="P49" s="74" t="n">
        <x:f>IF(O49="","",O49-B49)</x:f>
        <x:v>0.21999999999999975</x:v>
      </x:c>
      <x:c r="Q49" s="74" t="n">
        <x:f>IF(P49="","",ABS(P49))</x:f>
        <x:v>0.21999999999999975</x:v>
      </x:c>
      <x:c r="R49" s="75" t="n">
        <x:f>IF(Q49="","",Q49/B49*100)</x:f>
        <x:v>4.680851063829781</x:v>
      </x:c>
      <x:c r="S49" s="74" t="n">
        <x:v>5.64</x:v>
      </x:c>
      <x:c r="T49" s="74" t="n">
        <x:f>IF(S49="","",S49-B49)</x:f>
        <x:v>0.9399999999999995</x:v>
      </x:c>
      <x:c r="U49" s="74" t="n">
        <x:f>IF(T49="","",ABS(T49))</x:f>
        <x:v>0.9399999999999995</x:v>
      </x:c>
      <x:c r="V49" s="75" t="n">
        <x:f>IF(U49="","",U49/B49*100)</x:f>
        <x:v>19.99999999999999</x:v>
      </x:c>
      <x:c r="W49" s="73" t="str">
        <x:f>IF(G49&lt;&gt;"","Genus",IF(K49&lt;&gt;"","Family",IF(O49&lt;&gt;"","Ecological proxy",IF(S49&lt;&gt;"","Broad","No fallback"))))</x:f>
        <x:v>Ecological proxy</x:v>
      </x:c>
      <x:c r="X49" s="74" t="n">
        <x:f>IF(G49&lt;&gt;"",G49,IF(K49&lt;&gt;"",K49,IF(O49&lt;&gt;"",O49,IF(S49&lt;&gt;"",S49,""))))</x:f>
        <x:v>4.92</x:v>
      </x:c>
      <x:c r="Y49" s="74" t="n">
        <x:f>IF(X49="","",X49-B49)</x:f>
        <x:v>0.21999999999999975</x:v>
      </x:c>
      <x:c r="Z49" s="74" t="n">
        <x:f>IF(Y49="","",ABS(Y49))</x:f>
        <x:v>0.21999999999999975</x:v>
      </x:c>
      <x:c r="AA49" s="75" t="n">
        <x:f>IF(Z49="","",Z49/B49*100)</x:f>
        <x:v>4.680851063829781</x:v>
      </x:c>
      <x:c r="AB49" s="73" t="str"/>
    </x:row>
    <x:row r="50" ht="52.79999923706055" hidden="0" customHeight="1">
      <x:c r="A50" s="80" t="str">
        <x:v>Helicolenus dactylopterus</x:v>
      </x:c>
      <x:c r="B50" s="74" t="n">
        <x:v>9.2</x:v>
      </x:c>
      <x:c r="C50" s="73" t="str">
        <x:v>Helicolenus</x:v>
      </x:c>
      <x:c r="D50" s="73" t="str">
        <x:v>Sebastidae</x:v>
      </x:c>
      <x:c r="E50" s="73" t="str">
        <x:v>Unclassified teleosts</x:v>
      </x:c>
      <x:c r="F50" s="73" t="str">
        <x:v>Teleostei</x:v>
      </x:c>
      <x:c r="G50" s="74"/>
      <x:c r="H50" s="74" t="str">
        <x:f>IF(G50="","",G50-B50)</x:f>
      </x:c>
      <x:c r="I50" s="74" t="str">
        <x:f>IF(H50="","",ABS(H50))</x:f>
      </x:c>
      <x:c r="J50" s="75" t="str">
        <x:f>IF(I50="","",I50/B50*100)</x:f>
      </x:c>
      <x:c r="K50" s="74" t="n">
        <x:v>2.97</x:v>
      </x:c>
      <x:c r="L50" s="74" t="n">
        <x:f>IF(K50="","",K50-B50)</x:f>
        <x:v>-6.229999999999999</x:v>
      </x:c>
      <x:c r="M50" s="74" t="n">
        <x:f>IF(L50="","",ABS(L50))</x:f>
        <x:v>6.229999999999999</x:v>
      </x:c>
      <x:c r="N50" s="75" t="n">
        <x:f>IF(M50="","",M50/B50*100)</x:f>
        <x:v>67.71739130434781</x:v>
      </x:c>
      <x:c r="O50" s="74" t="n">
        <x:v>4.92</x:v>
      </x:c>
      <x:c r="P50" s="74" t="n">
        <x:f>IF(O50="","",O50-B50)</x:f>
        <x:v>-4.279999999999999</x:v>
      </x:c>
      <x:c r="Q50" s="74" t="n">
        <x:f>IF(P50="","",ABS(P50))</x:f>
        <x:v>4.279999999999999</x:v>
      </x:c>
      <x:c r="R50" s="75" t="n">
        <x:f>IF(Q50="","",Q50/B50*100)</x:f>
        <x:v>46.52173913043478</x:v>
      </x:c>
      <x:c r="S50" s="74" t="n">
        <x:v>5.6</x:v>
      </x:c>
      <x:c r="T50" s="74" t="n">
        <x:f>IF(S50="","",S50-B50)</x:f>
        <x:v>-3.5999999999999996</x:v>
      </x:c>
      <x:c r="U50" s="74" t="n">
        <x:f>IF(T50="","",ABS(T50))</x:f>
        <x:v>3.5999999999999996</x:v>
      </x:c>
      <x:c r="V50" s="75" t="n">
        <x:f>IF(U50="","",U50/B50*100)</x:f>
        <x:v>39.130434782608695</x:v>
      </x:c>
      <x:c r="W50" s="73" t="str">
        <x:f>IF(G50&lt;&gt;"","Genus",IF(K50&lt;&gt;"","Family",IF(O50&lt;&gt;"","Ecological proxy",IF(S50&lt;&gt;"","Broad","No fallback"))))</x:f>
        <x:v>Family</x:v>
      </x:c>
      <x:c r="X50" s="74" t="n">
        <x:f>IF(G50&lt;&gt;"",G50,IF(K50&lt;&gt;"",K50,IF(O50&lt;&gt;"",O50,IF(S50&lt;&gt;"",S50,""))))</x:f>
        <x:v>2.97</x:v>
      </x:c>
      <x:c r="Y50" s="74" t="n">
        <x:f>IF(X50="","",X50-B50)</x:f>
        <x:v>-6.229999999999999</x:v>
      </x:c>
      <x:c r="Z50" s="74" t="n">
        <x:f>IF(Y50="","",ABS(Y50))</x:f>
        <x:v>6.229999999999999</x:v>
      </x:c>
      <x:c r="AA50" s="75" t="n">
        <x:f>IF(Z50="","",Z50/B50*100)</x:f>
        <x:v>67.71739130434781</x:v>
      </x:c>
      <x:c r="AB50" s="73" t="str"/>
    </x:row>
    <x:row r="51" ht="39.599998474121094" hidden="0" customHeight="1">
      <x:c r="A51" s="80" t="str">
        <x:v>Scorpaena loppei</x:v>
      </x:c>
      <x:c r="B51" s="74" t="n">
        <x:v>5.1</x:v>
      </x:c>
      <x:c r="C51" s="73" t="str">
        <x:v>Scorpaena</x:v>
      </x:c>
      <x:c r="D51" s="73" t="str">
        <x:v>Scorpaenidae</x:v>
      </x:c>
      <x:c r="E51" s="73" t="str">
        <x:v>Unclassified teleosts</x:v>
      </x:c>
      <x:c r="F51" s="73" t="str">
        <x:v>Teleostei</x:v>
      </x:c>
      <x:c r="G51" s="74"/>
      <x:c r="H51" s="74" t="str">
        <x:f>IF(G51="","",G51-B51)</x:f>
      </x:c>
      <x:c r="I51" s="74" t="str">
        <x:f>IF(H51="","",ABS(H51))</x:f>
      </x:c>
      <x:c r="J51" s="75" t="str">
        <x:f>IF(I51="","",I51/B51*100)</x:f>
      </x:c>
      <x:c r="K51" s="74"/>
      <x:c r="L51" s="74" t="str">
        <x:f>IF(K51="","",K51-B51)</x:f>
      </x:c>
      <x:c r="M51" s="74" t="str">
        <x:f>IF(L51="","",ABS(L51))</x:f>
      </x:c>
      <x:c r="N51" s="75" t="str">
        <x:f>IF(M51="","",M51/B51*100)</x:f>
      </x:c>
      <x:c r="O51" s="74" t="n">
        <x:v>4.92</x:v>
      </x:c>
      <x:c r="P51" s="74" t="n">
        <x:f>IF(O51="","",O51-B51)</x:f>
        <x:v>-0.17999999999999972</x:v>
      </x:c>
      <x:c r="Q51" s="74" t="n">
        <x:f>IF(P51="","",ABS(P51))</x:f>
        <x:v>0.17999999999999972</x:v>
      </x:c>
      <x:c r="R51" s="75" t="n">
        <x:f>IF(Q51="","",Q51/B51*100)</x:f>
        <x:v>3.529411764705877</x:v>
      </x:c>
      <x:c r="S51" s="74" t="n">
        <x:v>5.64</x:v>
      </x:c>
      <x:c r="T51" s="74" t="n">
        <x:f>IF(S51="","",S51-B51)</x:f>
        <x:v>0.54</x:v>
      </x:c>
      <x:c r="U51" s="74" t="n">
        <x:f>IF(T51="","",ABS(T51))</x:f>
        <x:v>0.54</x:v>
      </x:c>
      <x:c r="V51" s="75" t="n">
        <x:f>IF(U51="","",U51/B51*100)</x:f>
        <x:v>10.588235294117649</x:v>
      </x:c>
      <x:c r="W51" s="73" t="str">
        <x:f>IF(G51&lt;&gt;"","Genus",IF(K51&lt;&gt;"","Family",IF(O51&lt;&gt;"","Ecological proxy",IF(S51&lt;&gt;"","Broad","No fallback"))))</x:f>
        <x:v>Ecological proxy</x:v>
      </x:c>
      <x:c r="X51" s="74" t="n">
        <x:f>IF(G51&lt;&gt;"",G51,IF(K51&lt;&gt;"",K51,IF(O51&lt;&gt;"",O51,IF(S51&lt;&gt;"",S51,""))))</x:f>
        <x:v>4.92</x:v>
      </x:c>
      <x:c r="Y51" s="74" t="n">
        <x:f>IF(X51="","",X51-B51)</x:f>
        <x:v>-0.17999999999999972</x:v>
      </x:c>
      <x:c r="Z51" s="74" t="n">
        <x:f>IF(Y51="","",ABS(Y51))</x:f>
        <x:v>0.17999999999999972</x:v>
      </x:c>
      <x:c r="AA51" s="75" t="n">
        <x:f>IF(Z51="","",Z51/B51*100)</x:f>
        <x:v>3.529411764705877</x:v>
      </x:c>
      <x:c r="AB51" s="73" t="str"/>
    </x:row>
    <x:row r="52" ht="39.599998474121094" hidden="0" customHeight="1">
      <x:c r="A52" s="80" t="str">
        <x:v>Chelidonichthys cuculus</x:v>
      </x:c>
      <x:c r="B52" s="74" t="n">
        <x:v>8.2</x:v>
      </x:c>
      <x:c r="C52" s="73" t="str">
        <x:v>Chelidonichthys</x:v>
      </x:c>
      <x:c r="D52" s="73" t="str">
        <x:v>Triglidae</x:v>
      </x:c>
      <x:c r="E52" s="73" t="str">
        <x:v>Unclassified teleosts</x:v>
      </x:c>
      <x:c r="F52" s="73" t="str">
        <x:v>Teleostei</x:v>
      </x:c>
      <x:c r="G52" s="74"/>
      <x:c r="H52" s="74" t="str">
        <x:f>IF(G52="","",G52-B52)</x:f>
      </x:c>
      <x:c r="I52" s="74" t="str">
        <x:f>IF(H52="","",ABS(H52))</x:f>
      </x:c>
      <x:c r="J52" s="75" t="str">
        <x:f>IF(I52="","",I52/B52*100)</x:f>
      </x:c>
      <x:c r="K52" s="74"/>
      <x:c r="L52" s="74" t="str">
        <x:f>IF(K52="","",K52-B52)</x:f>
      </x:c>
      <x:c r="M52" s="74" t="str">
        <x:f>IF(L52="","",ABS(L52))</x:f>
      </x:c>
      <x:c r="N52" s="75" t="str">
        <x:f>IF(M52="","",M52/B52*100)</x:f>
      </x:c>
      <x:c r="O52" s="74" t="n">
        <x:v>4.92</x:v>
      </x:c>
      <x:c r="P52" s="74" t="n">
        <x:f>IF(O52="","",O52-B52)</x:f>
        <x:v>-3.2799999999999994</x:v>
      </x:c>
      <x:c r="Q52" s="74" t="n">
        <x:f>IF(P52="","",ABS(P52))</x:f>
        <x:v>3.2799999999999994</x:v>
      </x:c>
      <x:c r="R52" s="75" t="n">
        <x:f>IF(Q52="","",Q52/B52*100)</x:f>
        <x:v>40</x:v>
      </x:c>
      <x:c r="S52" s="74" t="n">
        <x:v>5.6</x:v>
      </x:c>
      <x:c r="T52" s="74" t="n">
        <x:f>IF(S52="","",S52-B52)</x:f>
        <x:v>-2.5999999999999996</x:v>
      </x:c>
      <x:c r="U52" s="74" t="n">
        <x:f>IF(T52="","",ABS(T52))</x:f>
        <x:v>2.5999999999999996</x:v>
      </x:c>
      <x:c r="V52" s="75" t="n">
        <x:f>IF(U52="","",U52/B52*100)</x:f>
        <x:v>31.70731707317073</x:v>
      </x:c>
      <x:c r="W52" s="73" t="str">
        <x:f>IF(G52&lt;&gt;"","Genus",IF(K52&lt;&gt;"","Family",IF(O52&lt;&gt;"","Ecological proxy",IF(S52&lt;&gt;"","Broad","No fallback"))))</x:f>
        <x:v>Ecological proxy</x:v>
      </x:c>
      <x:c r="X52" s="74" t="n">
        <x:f>IF(G52&lt;&gt;"",G52,IF(K52&lt;&gt;"",K52,IF(O52&lt;&gt;"",O52,IF(S52&lt;&gt;"",S52,""))))</x:f>
        <x:v>4.92</x:v>
      </x:c>
      <x:c r="Y52" s="74" t="n">
        <x:f>IF(X52="","",X52-B52)</x:f>
        <x:v>-3.2799999999999994</x:v>
      </x:c>
      <x:c r="Z52" s="74" t="n">
        <x:f>IF(Y52="","",ABS(Y52))</x:f>
        <x:v>3.2799999999999994</x:v>
      </x:c>
      <x:c r="AA52" s="75" t="n">
        <x:f>IF(Z52="","",Z52/B52*100)</x:f>
        <x:v>40</x:v>
      </x:c>
      <x:c r="AB52" s="73" t="str"/>
    </x:row>
    <x:row r="53" ht="39.599998474121094" hidden="0" customHeight="1">
      <x:c r="A53" s="80" t="str">
        <x:v>Dicentrarchus labrax</x:v>
      </x:c>
      <x:c r="B53" s="74" t="n">
        <x:v>6</x:v>
      </x:c>
      <x:c r="C53" s="73" t="str">
        <x:v>Dicentrarchus</x:v>
      </x:c>
      <x:c r="D53" s="73" t="str">
        <x:v>Moronidae</x:v>
      </x:c>
      <x:c r="E53" s="73" t="str">
        <x:v>Unclassified teleosts</x:v>
      </x:c>
      <x:c r="F53" s="73" t="str">
        <x:v>Teleostei</x:v>
      </x:c>
      <x:c r="G53" s="74"/>
      <x:c r="H53" s="74" t="str">
        <x:f>IF(G53="","",G53-B53)</x:f>
      </x:c>
      <x:c r="I53" s="74" t="str">
        <x:f>IF(H53="","",ABS(H53))</x:f>
      </x:c>
      <x:c r="J53" s="75" t="str">
        <x:f>IF(I53="","",I53/B53*100)</x:f>
      </x:c>
      <x:c r="K53" s="74"/>
      <x:c r="L53" s="74" t="str">
        <x:f>IF(K53="","",K53-B53)</x:f>
      </x:c>
      <x:c r="M53" s="74" t="str">
        <x:f>IF(L53="","",ABS(L53))</x:f>
      </x:c>
      <x:c r="N53" s="75" t="str">
        <x:f>IF(M53="","",M53/B53*100)</x:f>
      </x:c>
      <x:c r="O53" s="74" t="n">
        <x:v>4.92</x:v>
      </x:c>
      <x:c r="P53" s="74" t="n">
        <x:f>IF(O53="","",O53-B53)</x:f>
        <x:v>-1.08</x:v>
      </x:c>
      <x:c r="Q53" s="74" t="n">
        <x:f>IF(P53="","",ABS(P53))</x:f>
        <x:v>1.08</x:v>
      </x:c>
      <x:c r="R53" s="75" t="n">
        <x:f>IF(Q53="","",Q53/B53*100)</x:f>
        <x:v>18.000000000000004</x:v>
      </x:c>
      <x:c r="S53" s="74" t="n">
        <x:v>5.6</x:v>
      </x:c>
      <x:c r="T53" s="74" t="n">
        <x:f>IF(S53="","",S53-B53)</x:f>
        <x:v>-0.40000000000000036</x:v>
      </x:c>
      <x:c r="U53" s="74" t="n">
        <x:f>IF(T53="","",ABS(T53))</x:f>
        <x:v>0.40000000000000036</x:v>
      </x:c>
      <x:c r="V53" s="75" t="n">
        <x:f>IF(U53="","",U53/B53*100)</x:f>
        <x:v>6.666666666666672</x:v>
      </x:c>
      <x:c r="W53" s="73" t="str">
        <x:f>IF(G53&lt;&gt;"","Genus",IF(K53&lt;&gt;"","Family",IF(O53&lt;&gt;"","Ecological proxy",IF(S53&lt;&gt;"","Broad","No fallback"))))</x:f>
        <x:v>Ecological proxy</x:v>
      </x:c>
      <x:c r="X53" s="74" t="n">
        <x:f>IF(G53&lt;&gt;"",G53,IF(K53&lt;&gt;"",K53,IF(O53&lt;&gt;"",O53,IF(S53&lt;&gt;"",S53,""))))</x:f>
        <x:v>4.92</x:v>
      </x:c>
      <x:c r="Y53" s="74" t="n">
        <x:f>IF(X53="","",X53-B53)</x:f>
        <x:v>-1.08</x:v>
      </x:c>
      <x:c r="Z53" s="74" t="n">
        <x:f>IF(Y53="","",ABS(Y53))</x:f>
        <x:v>1.08</x:v>
      </x:c>
      <x:c r="AA53" s="75" t="n">
        <x:f>IF(Z53="","",Z53/B53*100)</x:f>
        <x:v>18.000000000000004</x:v>
      </x:c>
      <x:c r="AB53" s="73" t="str"/>
    </x:row>
    <x:row r="54" ht="39.599998474121094" hidden="0" customHeight="1">
      <x:c r="A54" s="80" t="str">
        <x:v>Trachurus trachurus</x:v>
      </x:c>
      <x:c r="B54" s="74" t="n">
        <x:v>6</x:v>
      </x:c>
      <x:c r="C54" s="73" t="str">
        <x:v>Trachurus</x:v>
      </x:c>
      <x:c r="D54" s="73" t="str">
        <x:v>Carangidae</x:v>
      </x:c>
      <x:c r="E54" s="73" t="str">
        <x:v>Unclassified teleosts</x:v>
      </x:c>
      <x:c r="F54" s="73" t="str">
        <x:v>Teleostei</x:v>
      </x:c>
      <x:c r="G54" s="74" t="n">
        <x:v>5.78</x:v>
      </x:c>
      <x:c r="H54" s="74" t="n">
        <x:f>IF(G54="","",G54-B54)</x:f>
        <x:v>-0.21999999999999975</x:v>
      </x:c>
      <x:c r="I54" s="74" t="n">
        <x:f>IF(H54="","",ABS(H54))</x:f>
        <x:v>0.21999999999999975</x:v>
      </x:c>
      <x:c r="J54" s="75" t="n">
        <x:f>IF(I54="","",I54/B54*100)</x:f>
        <x:v>3.6666666666666625</x:v>
      </x:c>
      <x:c r="K54" s="74" t="n">
        <x:v>5.78</x:v>
      </x:c>
      <x:c r="L54" s="74" t="n">
        <x:f>IF(K54="","",K54-B54)</x:f>
        <x:v>-0.21999999999999975</x:v>
      </x:c>
      <x:c r="M54" s="74" t="n">
        <x:f>IF(L54="","",ABS(L54))</x:f>
        <x:v>0.21999999999999975</x:v>
      </x:c>
      <x:c r="N54" s="75" t="n">
        <x:f>IF(M54="","",M54/B54*100)</x:f>
        <x:v>3.6666666666666625</x:v>
      </x:c>
      <x:c r="O54" s="74" t="n">
        <x:v>4.92</x:v>
      </x:c>
      <x:c r="P54" s="74" t="n">
        <x:f>IF(O54="","",O54-B54)</x:f>
        <x:v>-1.08</x:v>
      </x:c>
      <x:c r="Q54" s="74" t="n">
        <x:f>IF(P54="","",ABS(P54))</x:f>
        <x:v>1.08</x:v>
      </x:c>
      <x:c r="R54" s="75" t="n">
        <x:f>IF(Q54="","",Q54/B54*100)</x:f>
        <x:v>18.000000000000004</x:v>
      </x:c>
      <x:c r="S54" s="74" t="n">
        <x:v>5.6</x:v>
      </x:c>
      <x:c r="T54" s="74" t="n">
        <x:f>IF(S54="","",S54-B54)</x:f>
        <x:v>-0.40000000000000036</x:v>
      </x:c>
      <x:c r="U54" s="74" t="n">
        <x:f>IF(T54="","",ABS(T54))</x:f>
        <x:v>0.40000000000000036</x:v>
      </x:c>
      <x:c r="V54" s="75" t="n">
        <x:f>IF(U54="","",U54/B54*100)</x:f>
        <x:v>6.666666666666672</x:v>
      </x:c>
      <x:c r="W54" s="73" t="str">
        <x:f>IF(G54&lt;&gt;"","Genus",IF(K54&lt;&gt;"","Family",IF(O54&lt;&gt;"","Ecological proxy",IF(S54&lt;&gt;"","Broad","No fallback"))))</x:f>
        <x:v>Genus</x:v>
      </x:c>
      <x:c r="X54" s="74" t="n">
        <x:f>IF(G54&lt;&gt;"",G54,IF(K54&lt;&gt;"",K54,IF(O54&lt;&gt;"",O54,IF(S54&lt;&gt;"",S54,""))))</x:f>
        <x:v>5.78</x:v>
      </x:c>
      <x:c r="Y54" s="74" t="n">
        <x:f>IF(X54="","",X54-B54)</x:f>
        <x:v>-0.21999999999999975</x:v>
      </x:c>
      <x:c r="Z54" s="74" t="n">
        <x:f>IF(Y54="","",ABS(Y54))</x:f>
        <x:v>0.21999999999999975</x:v>
      </x:c>
      <x:c r="AA54" s="75" t="n">
        <x:f>IF(Z54="","",Z54/B54*100)</x:f>
        <x:v>3.6666666666666625</x:v>
      </x:c>
      <x:c r="AB54" s="73" t="str"/>
    </x:row>
    <x:row r="55" ht="39.599998474121094" hidden="0" customHeight="1">
      <x:c r="A55" s="80" t="str">
        <x:v>Spondyliosoma cantharus</x:v>
      </x:c>
      <x:c r="B55" s="74" t="n">
        <x:v>6.9</x:v>
      </x:c>
      <x:c r="C55" s="73" t="str">
        <x:v>Spondyliosoma</x:v>
      </x:c>
      <x:c r="D55" s="73" t="str">
        <x:v>Sparidae</x:v>
      </x:c>
      <x:c r="E55" s="73" t="str">
        <x:v>Unclassified teleosts</x:v>
      </x:c>
      <x:c r="F55" s="73" t="str">
        <x:v>Teleostei</x:v>
      </x:c>
      <x:c r="G55" s="74"/>
      <x:c r="H55" s="74" t="str">
        <x:f>IF(G55="","",G55-B55)</x:f>
      </x:c>
      <x:c r="I55" s="74" t="str">
        <x:f>IF(H55="","",ABS(H55))</x:f>
      </x:c>
      <x:c r="J55" s="75" t="str">
        <x:f>IF(I55="","",I55/B55*100)</x:f>
      </x:c>
      <x:c r="K55" s="74" t="n">
        <x:v>6.984999999999999</x:v>
      </x:c>
      <x:c r="L55" s="74" t="n">
        <x:f>IF(K55="","",K55-B55)</x:f>
        <x:v>0.08499999999999908</x:v>
      </x:c>
      <x:c r="M55" s="74" t="n">
        <x:f>IF(L55="","",ABS(L55))</x:f>
        <x:v>0.08499999999999908</x:v>
      </x:c>
      <x:c r="N55" s="75" t="n">
        <x:f>IF(M55="","",M55/B55*100)</x:f>
        <x:v>1.231884057971001</x:v>
      </x:c>
      <x:c r="O55" s="74" t="n">
        <x:v>4.92</x:v>
      </x:c>
      <x:c r="P55" s="74" t="n">
        <x:f>IF(O55="","",O55-B55)</x:f>
        <x:v>-1.9800000000000004</x:v>
      </x:c>
      <x:c r="Q55" s="74" t="n">
        <x:f>IF(P55="","",ABS(P55))</x:f>
        <x:v>1.9800000000000004</x:v>
      </x:c>
      <x:c r="R55" s="75" t="n">
        <x:f>IF(Q55="","",Q55/B55*100)</x:f>
        <x:v>28.69565217391305</x:v>
      </x:c>
      <x:c r="S55" s="74" t="n">
        <x:v>5.6</x:v>
      </x:c>
      <x:c r="T55" s="74" t="n">
        <x:f>IF(S55="","",S55-B55)</x:f>
        <x:v>-1.3000000000000007</x:v>
      </x:c>
      <x:c r="U55" s="74" t="n">
        <x:f>IF(T55="","",ABS(T55))</x:f>
        <x:v>1.3000000000000007</x:v>
      </x:c>
      <x:c r="V55" s="75" t="n">
        <x:f>IF(U55="","",U55/B55*100)</x:f>
        <x:v>18.840579710144937</x:v>
      </x:c>
      <x:c r="W55" s="73" t="str">
        <x:f>IF(G55&lt;&gt;"","Genus",IF(K55&lt;&gt;"","Family",IF(O55&lt;&gt;"","Ecological proxy",IF(S55&lt;&gt;"","Broad","No fallback"))))</x:f>
        <x:v>Family</x:v>
      </x:c>
      <x:c r="X55" s="74" t="n">
        <x:f>IF(G55&lt;&gt;"",G55,IF(K55&lt;&gt;"",K55,IF(O55&lt;&gt;"",O55,IF(S55&lt;&gt;"",S55,""))))</x:f>
        <x:v>6.984999999999999</x:v>
      </x:c>
      <x:c r="Y55" s="74" t="n">
        <x:f>IF(X55="","",X55-B55)</x:f>
        <x:v>0.08499999999999908</x:v>
      </x:c>
      <x:c r="Z55" s="74" t="n">
        <x:f>IF(Y55="","",ABS(Y55))</x:f>
        <x:v>0.08499999999999908</x:v>
      </x:c>
      <x:c r="AA55" s="75" t="n">
        <x:f>IF(Z55="","",Z55/B55*100)</x:f>
        <x:v>1.231884057971001</x:v>
      </x:c>
      <x:c r="AB55" s="73" t="str"/>
    </x:row>
    <x:row r="56" ht="39.599998474121094" hidden="0" customHeight="1">
      <x:c r="A56" s="80" t="str">
        <x:v>Boops boops</x:v>
      </x:c>
      <x:c r="B56" s="74" t="n">
        <x:v>8</x:v>
      </x:c>
      <x:c r="C56" s="73" t="str">
        <x:v>Boops</x:v>
      </x:c>
      <x:c r="D56" s="73" t="str">
        <x:v>Sparidae</x:v>
      </x:c>
      <x:c r="E56" s="73" t="str">
        <x:v>Unclassified teleosts</x:v>
      </x:c>
      <x:c r="F56" s="73" t="str">
        <x:v>Teleostei</x:v>
      </x:c>
      <x:c r="G56" s="74"/>
      <x:c r="H56" s="74" t="str">
        <x:f>IF(G56="","",G56-B56)</x:f>
      </x:c>
      <x:c r="I56" s="74" t="str">
        <x:f>IF(H56="","",ABS(H56))</x:f>
      </x:c>
      <x:c r="J56" s="75" t="str">
        <x:f>IF(I56="","",I56/B56*100)</x:f>
      </x:c>
      <x:c r="K56" s="74" t="n">
        <x:v>6.4350000000000005</x:v>
      </x:c>
      <x:c r="L56" s="74" t="n">
        <x:f>IF(K56="","",K56-B56)</x:f>
        <x:v>-1.5649999999999995</x:v>
      </x:c>
      <x:c r="M56" s="74" t="n">
        <x:f>IF(L56="","",ABS(L56))</x:f>
        <x:v>1.5649999999999995</x:v>
      </x:c>
      <x:c r="N56" s="75" t="n">
        <x:f>IF(M56="","",M56/B56*100)</x:f>
        <x:v>19.562499999999993</x:v>
      </x:c>
      <x:c r="O56" s="74" t="n">
        <x:v>4.92</x:v>
      </x:c>
      <x:c r="P56" s="74" t="n">
        <x:f>IF(O56="","",O56-B56)</x:f>
        <x:v>-3.08</x:v>
      </x:c>
      <x:c r="Q56" s="74" t="n">
        <x:f>IF(P56="","",ABS(P56))</x:f>
        <x:v>3.08</x:v>
      </x:c>
      <x:c r="R56" s="75" t="n">
        <x:f>IF(Q56="","",Q56/B56*100)</x:f>
        <x:v>38.5</x:v>
      </x:c>
      <x:c r="S56" s="74" t="n">
        <x:v>5.6</x:v>
      </x:c>
      <x:c r="T56" s="74" t="n">
        <x:f>IF(S56="","",S56-B56)</x:f>
        <x:v>-2.4000000000000004</x:v>
      </x:c>
      <x:c r="U56" s="74" t="n">
        <x:f>IF(T56="","",ABS(T56))</x:f>
        <x:v>2.4000000000000004</x:v>
      </x:c>
      <x:c r="V56" s="75" t="n">
        <x:f>IF(U56="","",U56/B56*100)</x:f>
        <x:v>30.000000000000004</x:v>
      </x:c>
      <x:c r="W56" s="73" t="str">
        <x:f>IF(G56&lt;&gt;"","Genus",IF(K56&lt;&gt;"","Family",IF(O56&lt;&gt;"","Ecological proxy",IF(S56&lt;&gt;"","Broad","No fallback"))))</x:f>
        <x:v>Family</x:v>
      </x:c>
      <x:c r="X56" s="74" t="n">
        <x:f>IF(G56&lt;&gt;"",G56,IF(K56&lt;&gt;"",K56,IF(O56&lt;&gt;"",O56,IF(S56&lt;&gt;"",S56,""))))</x:f>
        <x:v>6.4350000000000005</x:v>
      </x:c>
      <x:c r="Y56" s="74" t="n">
        <x:f>IF(X56="","",X56-B56)</x:f>
        <x:v>-1.5649999999999995</x:v>
      </x:c>
      <x:c r="Z56" s="74" t="n">
        <x:f>IF(Y56="","",ABS(Y56))</x:f>
        <x:v>1.5649999999999995</x:v>
      </x:c>
      <x:c r="AA56" s="75" t="n">
        <x:f>IF(Z56="","",Z56/B56*100)</x:f>
        <x:v>19.562499999999993</x:v>
      </x:c>
      <x:c r="AB56" s="73" t="str"/>
    </x:row>
    <x:row r="57" ht="39.599998474121094" hidden="0" customHeight="1">
      <x:c r="A57" s="80" t="str">
        <x:v>Pagellus acarne</x:v>
      </x:c>
      <x:c r="B57" s="74" t="n">
        <x:v>9.4</x:v>
      </x:c>
      <x:c r="C57" s="73" t="str">
        <x:v>Pagellus</x:v>
      </x:c>
      <x:c r="D57" s="73" t="str">
        <x:v>Sparidae</x:v>
      </x:c>
      <x:c r="E57" s="73" t="str">
        <x:v>Unclassified teleosts</x:v>
      </x:c>
      <x:c r="F57" s="73" t="str">
        <x:v>Teleostei</x:v>
      </x:c>
      <x:c r="G57" s="74"/>
      <x:c r="H57" s="74" t="str">
        <x:f>IF(G57="","",G57-B57)</x:f>
      </x:c>
      <x:c r="I57" s="74" t="str">
        <x:f>IF(H57="","",ABS(H57))</x:f>
      </x:c>
      <x:c r="J57" s="75" t="str">
        <x:f>IF(I57="","",I57/B57*100)</x:f>
      </x:c>
      <x:c r="K57" s="74" t="n">
        <x:v>6.4350000000000005</x:v>
      </x:c>
      <x:c r="L57" s="74" t="n">
        <x:f>IF(K57="","",K57-B57)</x:f>
        <x:v>-2.965</x:v>
      </x:c>
      <x:c r="M57" s="74" t="n">
        <x:f>IF(L57="","",ABS(L57))</x:f>
        <x:v>2.965</x:v>
      </x:c>
      <x:c r="N57" s="75" t="n">
        <x:f>IF(M57="","",M57/B57*100)</x:f>
        <x:v>31.542553191489358</x:v>
      </x:c>
      <x:c r="O57" s="74" t="n">
        <x:v>4.92</x:v>
      </x:c>
      <x:c r="P57" s="74" t="n">
        <x:f>IF(O57="","",O57-B57)</x:f>
        <x:v>-4.48</x:v>
      </x:c>
      <x:c r="Q57" s="74" t="n">
        <x:f>IF(P57="","",ABS(P57))</x:f>
        <x:v>4.48</x:v>
      </x:c>
      <x:c r="R57" s="75" t="n">
        <x:f>IF(Q57="","",Q57/B57*100)</x:f>
        <x:v>47.65957446808511</x:v>
      </x:c>
      <x:c r="S57" s="74" t="n">
        <x:v>5.6</x:v>
      </x:c>
      <x:c r="T57" s="74" t="n">
        <x:f>IF(S57="","",S57-B57)</x:f>
        <x:v>-3.8000000000000007</x:v>
      </x:c>
      <x:c r="U57" s="74" t="n">
        <x:f>IF(T57="","",ABS(T57))</x:f>
        <x:v>3.8000000000000007</x:v>
      </x:c>
      <x:c r="V57" s="75" t="n">
        <x:f>IF(U57="","",U57/B57*100)</x:f>
        <x:v>40.425531914893625</x:v>
      </x:c>
      <x:c r="W57" s="73" t="str">
        <x:f>IF(G57&lt;&gt;"","Genus",IF(K57&lt;&gt;"","Family",IF(O57&lt;&gt;"","Ecological proxy",IF(S57&lt;&gt;"","Broad","No fallback"))))</x:f>
        <x:v>Family</x:v>
      </x:c>
      <x:c r="X57" s="74" t="n">
        <x:f>IF(G57&lt;&gt;"",G57,IF(K57&lt;&gt;"",K57,IF(O57&lt;&gt;"",O57,IF(S57&lt;&gt;"",S57,""))))</x:f>
        <x:v>6.4350000000000005</x:v>
      </x:c>
      <x:c r="Y57" s="74" t="n">
        <x:f>IF(X57="","",X57-B57)</x:f>
        <x:v>-2.965</x:v>
      </x:c>
      <x:c r="Z57" s="74" t="n">
        <x:f>IF(Y57="","",ABS(Y57))</x:f>
        <x:v>2.965</x:v>
      </x:c>
      <x:c r="AA57" s="75" t="n">
        <x:f>IF(Z57="","",Z57/B57*100)</x:f>
        <x:v>31.542553191489358</x:v>
      </x:c>
      <x:c r="AB57" s="73" t="str"/>
    </x:row>
    <x:row r="58" ht="39.599998474121094" hidden="0" customHeight="1">
      <x:c r="A58" s="80" t="str">
        <x:v>Mullus surmuletus</x:v>
      </x:c>
      <x:c r="B58" s="74" t="n">
        <x:v>6.4</x:v>
      </x:c>
      <x:c r="C58" s="73" t="str">
        <x:v>Mullus</x:v>
      </x:c>
      <x:c r="D58" s="73" t="str">
        <x:v>Mullidae</x:v>
      </x:c>
      <x:c r="E58" s="73" t="str">
        <x:v>Unclassified teleosts</x:v>
      </x:c>
      <x:c r="F58" s="73" t="str">
        <x:v>Teleostei</x:v>
      </x:c>
      <x:c r="G58" s="74"/>
      <x:c r="H58" s="74" t="str">
        <x:f>IF(G58="","",G58-B58)</x:f>
      </x:c>
      <x:c r="I58" s="74" t="str">
        <x:f>IF(H58="","",ABS(H58))</x:f>
      </x:c>
      <x:c r="J58" s="75" t="str">
        <x:f>IF(I58="","",I58/B58*100)</x:f>
      </x:c>
      <x:c r="K58" s="74"/>
      <x:c r="L58" s="74" t="str">
        <x:f>IF(K58="","",K58-B58)</x:f>
      </x:c>
      <x:c r="M58" s="74" t="str">
        <x:f>IF(L58="","",ABS(L58))</x:f>
      </x:c>
      <x:c r="N58" s="75" t="str">
        <x:f>IF(M58="","",M58/B58*100)</x:f>
      </x:c>
      <x:c r="O58" s="74" t="n">
        <x:v>4.92</x:v>
      </x:c>
      <x:c r="P58" s="74" t="n">
        <x:f>IF(O58="","",O58-B58)</x:f>
        <x:v>-1.4800000000000004</x:v>
      </x:c>
      <x:c r="Q58" s="74" t="n">
        <x:f>IF(P58="","",ABS(P58))</x:f>
        <x:v>1.4800000000000004</x:v>
      </x:c>
      <x:c r="R58" s="75" t="n">
        <x:f>IF(Q58="","",Q58/B58*100)</x:f>
        <x:v>23.125000000000007</x:v>
      </x:c>
      <x:c r="S58" s="74" t="n">
        <x:v>5.6</x:v>
      </x:c>
      <x:c r="T58" s="74" t="n">
        <x:f>IF(S58="","",S58-B58)</x:f>
        <x:v>-0.8000000000000007</x:v>
      </x:c>
      <x:c r="U58" s="74" t="n">
        <x:f>IF(T58="","",ABS(T58))</x:f>
        <x:v>0.8000000000000007</x:v>
      </x:c>
      <x:c r="V58" s="75" t="n">
        <x:f>IF(U58="","",U58/B58*100)</x:f>
        <x:v>12.50000000000001</x:v>
      </x:c>
      <x:c r="W58" s="73" t="str">
        <x:f>IF(G58&lt;&gt;"","Genus",IF(K58&lt;&gt;"","Family",IF(O58&lt;&gt;"","Ecological proxy",IF(S58&lt;&gt;"","Broad","No fallback"))))</x:f>
        <x:v>Ecological proxy</x:v>
      </x:c>
      <x:c r="X58" s="74" t="n">
        <x:f>IF(G58&lt;&gt;"",G58,IF(K58&lt;&gt;"",K58,IF(O58&lt;&gt;"",O58,IF(S58&lt;&gt;"",S58,""))))</x:f>
        <x:v>4.92</x:v>
      </x:c>
      <x:c r="Y58" s="74" t="n">
        <x:f>IF(X58="","",X58-B58)</x:f>
        <x:v>-1.4800000000000004</x:v>
      </x:c>
      <x:c r="Z58" s="74" t="n">
        <x:f>IF(Y58="","",ABS(Y58))</x:f>
        <x:v>1.4800000000000004</x:v>
      </x:c>
      <x:c r="AA58" s="75" t="n">
        <x:f>IF(Z58="","",Z58/B58*100)</x:f>
        <x:v>23.125000000000007</x:v>
      </x:c>
      <x:c r="AB58" s="73" t="str"/>
    </x:row>
    <x:row r="59" ht="39.599998474121094" hidden="0" customHeight="1">
      <x:c r="A59" s="80" t="str">
        <x:v>Cepola macrophthalma</x:v>
      </x:c>
      <x:c r="B59" s="74" t="n">
        <x:v>3.9</x:v>
      </x:c>
      <x:c r="C59" s="73" t="str">
        <x:v>Cepola</x:v>
      </x:c>
      <x:c r="D59" s="73" t="str">
        <x:v>Cepolidae</x:v>
      </x:c>
      <x:c r="E59" s="73" t="str">
        <x:v>Unclassified teleosts</x:v>
      </x:c>
      <x:c r="F59" s="73" t="str">
        <x:v>Teleostei</x:v>
      </x:c>
      <x:c r="G59" s="74"/>
      <x:c r="H59" s="74" t="str">
        <x:f>IF(G59="","",G59-B59)</x:f>
      </x:c>
      <x:c r="I59" s="74" t="str">
        <x:f>IF(H59="","",ABS(H59))</x:f>
      </x:c>
      <x:c r="J59" s="75" t="str">
        <x:f>IF(I59="","",I59/B59*100)</x:f>
      </x:c>
      <x:c r="K59" s="74"/>
      <x:c r="L59" s="74" t="str">
        <x:f>IF(K59="","",K59-B59)</x:f>
      </x:c>
      <x:c r="M59" s="74" t="str">
        <x:f>IF(L59="","",ABS(L59))</x:f>
      </x:c>
      <x:c r="N59" s="75" t="str">
        <x:f>IF(M59="","",M59/B59*100)</x:f>
      </x:c>
      <x:c r="O59" s="74" t="n">
        <x:v>4.92</x:v>
      </x:c>
      <x:c r="P59" s="74" t="n">
        <x:f>IF(O59="","",O59-B59)</x:f>
        <x:v>1.02</x:v>
      </x:c>
      <x:c r="Q59" s="74" t="n">
        <x:f>IF(P59="","",ABS(P59))</x:f>
        <x:v>1.02</x:v>
      </x:c>
      <x:c r="R59" s="75" t="n">
        <x:f>IF(Q59="","",Q59/B59*100)</x:f>
        <x:v>26.153846153846157</x:v>
      </x:c>
      <x:c r="S59" s="74" t="n">
        <x:v>5.64</x:v>
      </x:c>
      <x:c r="T59" s="74" t="n">
        <x:f>IF(S59="","",S59-B59)</x:f>
        <x:v>1.7399999999999998</x:v>
      </x:c>
      <x:c r="U59" s="74" t="n">
        <x:f>IF(T59="","",ABS(T59))</x:f>
        <x:v>1.7399999999999998</x:v>
      </x:c>
      <x:c r="V59" s="75" t="n">
        <x:f>IF(U59="","",U59/B59*100)</x:f>
        <x:v>44.61538461538461</x:v>
      </x:c>
      <x:c r="W59" s="73" t="str">
        <x:f>IF(G59&lt;&gt;"","Genus",IF(K59&lt;&gt;"","Family",IF(O59&lt;&gt;"","Ecological proxy",IF(S59&lt;&gt;"","Broad","No fallback"))))</x:f>
        <x:v>Ecological proxy</x:v>
      </x:c>
      <x:c r="X59" s="74" t="n">
        <x:f>IF(G59&lt;&gt;"",G59,IF(K59&lt;&gt;"",K59,IF(O59&lt;&gt;"",O59,IF(S59&lt;&gt;"",S59,""))))</x:f>
        <x:v>4.92</x:v>
      </x:c>
      <x:c r="Y59" s="74" t="n">
        <x:f>IF(X59="","",X59-B59)</x:f>
        <x:v>1.02</x:v>
      </x:c>
      <x:c r="Z59" s="74" t="n">
        <x:f>IF(Y59="","",ABS(Y59))</x:f>
        <x:v>1.02</x:v>
      </x:c>
      <x:c r="AA59" s="75" t="n">
        <x:f>IF(Z59="","",Z59/B59*100)</x:f>
        <x:v>26.153846153846157</x:v>
      </x:c>
      <x:c r="AB59" s="73" t="str"/>
    </x:row>
    <x:row r="60" ht="39.599998474121094" hidden="0" customHeight="1">
      <x:c r="A60" s="80" t="str">
        <x:v>Liza ramada</x:v>
      </x:c>
      <x:c r="B60" s="74" t="n">
        <x:v>6.5</x:v>
      </x:c>
      <x:c r="C60" s="73" t="str">
        <x:v>Liza</x:v>
      </x:c>
      <x:c r="D60" s="73" t="str">
        <x:v>Mugilidae</x:v>
      </x:c>
      <x:c r="E60" s="73" t="str">
        <x:v>Unclassified teleosts</x:v>
      </x:c>
      <x:c r="F60" s="73" t="str">
        <x:v>Teleostei</x:v>
      </x:c>
      <x:c r="G60" s="74" t="n">
        <x:v>5.39</x:v>
      </x:c>
      <x:c r="H60" s="74" t="n">
        <x:f>IF(G60="","",G60-B60)</x:f>
        <x:v>-1.1100000000000003</x:v>
      </x:c>
      <x:c r="I60" s="74" t="n">
        <x:f>IF(H60="","",ABS(H60))</x:f>
        <x:v>1.1100000000000003</x:v>
      </x:c>
      <x:c r="J60" s="75" t="n">
        <x:f>IF(I60="","",I60/B60*100)</x:f>
        <x:v>17.07692307692308</x:v>
      </x:c>
      <x:c r="K60" s="74" t="n">
        <x:v>5.765</x:v>
      </x:c>
      <x:c r="L60" s="74" t="n">
        <x:f>IF(K60="","",K60-B60)</x:f>
        <x:v>-0.7350000000000003</x:v>
      </x:c>
      <x:c r="M60" s="74" t="n">
        <x:f>IF(L60="","",ABS(L60))</x:f>
        <x:v>0.7350000000000003</x:v>
      </x:c>
      <x:c r="N60" s="75" t="n">
        <x:f>IF(M60="","",M60/B60*100)</x:f>
        <x:v>11.307692307692314</x:v>
      </x:c>
      <x:c r="O60" s="74" t="n">
        <x:v>4.92</x:v>
      </x:c>
      <x:c r="P60" s="74" t="n">
        <x:f>IF(O60="","",O60-B60)</x:f>
        <x:v>-1.58</x:v>
      </x:c>
      <x:c r="Q60" s="74" t="n">
        <x:f>IF(P60="","",ABS(P60))</x:f>
        <x:v>1.58</x:v>
      </x:c>
      <x:c r="R60" s="75" t="n">
        <x:f>IF(Q60="","",Q60/B60*100)</x:f>
        <x:v>24.307692307692307</x:v>
      </x:c>
      <x:c r="S60" s="74" t="n">
        <x:v>5.6</x:v>
      </x:c>
      <x:c r="T60" s="74" t="n">
        <x:f>IF(S60="","",S60-B60)</x:f>
        <x:v>-0.9000000000000004</x:v>
      </x:c>
      <x:c r="U60" s="74" t="n">
        <x:f>IF(T60="","",ABS(T60))</x:f>
        <x:v>0.9000000000000004</x:v>
      </x:c>
      <x:c r="V60" s="75" t="n">
        <x:f>IF(U60="","",U60/B60*100)</x:f>
        <x:v>13.846153846153852</x:v>
      </x:c>
      <x:c r="W60" s="73" t="str">
        <x:f>IF(G60&lt;&gt;"","Genus",IF(K60&lt;&gt;"","Family",IF(O60&lt;&gt;"","Ecological proxy",IF(S60&lt;&gt;"","Broad","No fallback"))))</x:f>
        <x:v>Genus</x:v>
      </x:c>
      <x:c r="X60" s="74" t="n">
        <x:f>IF(G60&lt;&gt;"",G60,IF(K60&lt;&gt;"",K60,IF(O60&lt;&gt;"",O60,IF(S60&lt;&gt;"",S60,""))))</x:f>
        <x:v>5.39</x:v>
      </x:c>
      <x:c r="Y60" s="74" t="n">
        <x:f>IF(X60="","",X60-B60)</x:f>
        <x:v>-1.1100000000000003</x:v>
      </x:c>
      <x:c r="Z60" s="74" t="n">
        <x:f>IF(Y60="","",ABS(Y60))</x:f>
        <x:v>1.1100000000000003</x:v>
      </x:c>
      <x:c r="AA60" s="75" t="n">
        <x:f>IF(Z60="","",Z60/B60*100)</x:f>
        <x:v>17.07692307692308</x:v>
      </x:c>
      <x:c r="AB60" s="73" t="str"/>
    </x:row>
    <x:row r="61" ht="39.599998474121094" hidden="0" customHeight="1">
      <x:c r="A61" s="80" t="str">
        <x:v>Labrus bergylta</x:v>
      </x:c>
      <x:c r="B61" s="74" t="n">
        <x:v>5.4</x:v>
      </x:c>
      <x:c r="C61" s="73" t="str">
        <x:v>Labrus</x:v>
      </x:c>
      <x:c r="D61" s="73" t="str">
        <x:v>Labridae</x:v>
      </x:c>
      <x:c r="E61" s="73" t="str">
        <x:v>Unclassified teleosts</x:v>
      </x:c>
      <x:c r="F61" s="73" t="str">
        <x:v>Teleostei</x:v>
      </x:c>
      <x:c r="G61" s="74"/>
      <x:c r="H61" s="74" t="str">
        <x:f>IF(G61="","",G61-B61)</x:f>
      </x:c>
      <x:c r="I61" s="74" t="str">
        <x:f>IF(H61="","",ABS(H61))</x:f>
      </x:c>
      <x:c r="J61" s="75" t="str">
        <x:f>IF(I61="","",I61/B61*100)</x:f>
      </x:c>
      <x:c r="K61" s="74"/>
      <x:c r="L61" s="74" t="str">
        <x:f>IF(K61="","",K61-B61)</x:f>
      </x:c>
      <x:c r="M61" s="74" t="str">
        <x:f>IF(L61="","",ABS(L61))</x:f>
      </x:c>
      <x:c r="N61" s="75" t="str">
        <x:f>IF(M61="","",M61/B61*100)</x:f>
      </x:c>
      <x:c r="O61" s="74" t="n">
        <x:v>4.92</x:v>
      </x:c>
      <x:c r="P61" s="74" t="n">
        <x:f>IF(O61="","",O61-B61)</x:f>
        <x:v>-0.4800000000000004</x:v>
      </x:c>
      <x:c r="Q61" s="74" t="n">
        <x:f>IF(P61="","",ABS(P61))</x:f>
        <x:v>0.4800000000000004</x:v>
      </x:c>
      <x:c r="R61" s="75" t="n">
        <x:f>IF(Q61="","",Q61/B61*100)</x:f>
        <x:v>8.888888888888896</x:v>
      </x:c>
      <x:c r="S61" s="74" t="n">
        <x:v>5.64</x:v>
      </x:c>
      <x:c r="T61" s="74" t="n">
        <x:f>IF(S61="","",S61-B61)</x:f>
        <x:v>0.23999999999999932</x:v>
      </x:c>
      <x:c r="U61" s="74" t="n">
        <x:f>IF(T61="","",ABS(T61))</x:f>
        <x:v>0.23999999999999932</x:v>
      </x:c>
      <x:c r="V61" s="75" t="n">
        <x:f>IF(U61="","",U61/B61*100)</x:f>
        <x:v>4.444444444444431</x:v>
      </x:c>
      <x:c r="W61" s="73" t="str">
        <x:f>IF(G61&lt;&gt;"","Genus",IF(K61&lt;&gt;"","Family",IF(O61&lt;&gt;"","Ecological proxy",IF(S61&lt;&gt;"","Broad","No fallback"))))</x:f>
        <x:v>Ecological proxy</x:v>
      </x:c>
      <x:c r="X61" s="74" t="n">
        <x:f>IF(G61&lt;&gt;"",G61,IF(K61&lt;&gt;"",K61,IF(O61&lt;&gt;"",O61,IF(S61&lt;&gt;"",S61,""))))</x:f>
        <x:v>4.92</x:v>
      </x:c>
      <x:c r="Y61" s="74" t="n">
        <x:f>IF(X61="","",X61-B61)</x:f>
        <x:v>-0.4800000000000004</x:v>
      </x:c>
      <x:c r="Z61" s="74" t="n">
        <x:f>IF(Y61="","",ABS(Y61))</x:f>
        <x:v>0.4800000000000004</x:v>
      </x:c>
      <x:c r="AA61" s="75" t="n">
        <x:f>IF(Z61="","",Z61/B61*100)</x:f>
        <x:v>8.888888888888896</x:v>
      </x:c>
      <x:c r="AB61" s="73" t="str"/>
    </x:row>
    <x:row r="62" ht="52.79999923706055" hidden="0" customHeight="1">
      <x:c r="A62" s="80" t="str">
        <x:v>Hyperoplus lanceolatus</x:v>
      </x:c>
      <x:c r="B62" s="74" t="n">
        <x:v>4.8</x:v>
      </x:c>
      <x:c r="C62" s="73" t="str">
        <x:v>Hyperoplus</x:v>
      </x:c>
      <x:c r="D62" s="73" t="str">
        <x:v>Ammodytidae</x:v>
      </x:c>
      <x:c r="E62" s="73" t="str">
        <x:v>Small pelagic forage fishes</x:v>
      </x:c>
      <x:c r="F62" s="73" t="str">
        <x:v>Teleostei</x:v>
      </x:c>
      <x:c r="G62" s="74"/>
      <x:c r="H62" s="74" t="str">
        <x:f>IF(G62="","",G62-B62)</x:f>
      </x:c>
      <x:c r="I62" s="74" t="str">
        <x:f>IF(H62="","",ABS(H62))</x:f>
      </x:c>
      <x:c r="J62" s="75" t="str">
        <x:f>IF(I62="","",I62/B62*100)</x:f>
      </x:c>
      <x:c r="K62" s="74" t="n">
        <x:v>5.8</x:v>
      </x:c>
      <x:c r="L62" s="74" t="n">
        <x:f>IF(K62="","",K62-B62)</x:f>
        <x:v>1</x:v>
      </x:c>
      <x:c r="M62" s="74" t="n">
        <x:f>IF(L62="","",ABS(L62))</x:f>
        <x:v>1</x:v>
      </x:c>
      <x:c r="N62" s="75" t="n">
        <x:f>IF(M62="","",M62/B62*100)</x:f>
        <x:v>20.833333333333336</x:v>
      </x:c>
      <x:c r="O62" s="74" t="n">
        <x:v>6.75</x:v>
      </x:c>
      <x:c r="P62" s="74" t="n">
        <x:f>IF(O62="","",O62-B62)</x:f>
        <x:v>1.9500000000000002</x:v>
      </x:c>
      <x:c r="Q62" s="74" t="n">
        <x:f>IF(P62="","",ABS(P62))</x:f>
        <x:v>1.9500000000000002</x:v>
      </x:c>
      <x:c r="R62" s="75" t="n">
        <x:f>IF(Q62="","",Q62/B62*100)</x:f>
        <x:v>40.62500000000001</x:v>
      </x:c>
      <x:c r="S62" s="74" t="n">
        <x:v>5.64</x:v>
      </x:c>
      <x:c r="T62" s="74" t="n">
        <x:f>IF(S62="","",S62-B62)</x:f>
        <x:v>0.8399999999999999</x:v>
      </x:c>
      <x:c r="U62" s="74" t="n">
        <x:f>IF(T62="","",ABS(T62))</x:f>
        <x:v>0.8399999999999999</x:v>
      </x:c>
      <x:c r="V62" s="75" t="n">
        <x:f>IF(U62="","",U62/B62*100)</x:f>
        <x:v>17.5</x:v>
      </x:c>
      <x:c r="W62" s="73" t="str">
        <x:f>IF(G62&lt;&gt;"","Genus",IF(K62&lt;&gt;"","Family",IF(O62&lt;&gt;"","Ecological proxy",IF(S62&lt;&gt;"","Broad","No fallback"))))</x:f>
        <x:v>Family</x:v>
      </x:c>
      <x:c r="X62" s="74" t="n">
        <x:f>IF(G62&lt;&gt;"",G62,IF(K62&lt;&gt;"",K62,IF(O62&lt;&gt;"",O62,IF(S62&lt;&gt;"",S62,""))))</x:f>
        <x:v>5.8</x:v>
      </x:c>
      <x:c r="Y62" s="74" t="n">
        <x:f>IF(X62="","",X62-B62)</x:f>
        <x:v>1</x:v>
      </x:c>
      <x:c r="Z62" s="74" t="n">
        <x:f>IF(Y62="","",ABS(Y62))</x:f>
        <x:v>1</x:v>
      </x:c>
      <x:c r="AA62" s="75" t="n">
        <x:f>IF(Z62="","",Z62/B62*100)</x:f>
        <x:v>20.833333333333336</x:v>
      </x:c>
      <x:c r="AB62" s="73" t="str"/>
    </x:row>
    <x:row r="63" ht="52.79999923706055" hidden="0" customHeight="1">
      <x:c r="A63" s="80" t="str">
        <x:v>Ammodytes tobianus</x:v>
      </x:c>
      <x:c r="B63" s="74" t="n">
        <x:v>5.8</x:v>
      </x:c>
      <x:c r="C63" s="73" t="str">
        <x:v>Ammodytes</x:v>
      </x:c>
      <x:c r="D63" s="73" t="str">
        <x:v>Ammodytidae</x:v>
      </x:c>
      <x:c r="E63" s="73" t="str">
        <x:v>Small pelagic forage fishes</x:v>
      </x:c>
      <x:c r="F63" s="73" t="str">
        <x:v>Teleostei</x:v>
      </x:c>
      <x:c r="G63" s="74" t="n">
        <x:v>5.475</x:v>
      </x:c>
      <x:c r="H63" s="74" t="n">
        <x:f>IF(G63="","",G63-B63)</x:f>
        <x:v>-0.3250000000000002</x:v>
      </x:c>
      <x:c r="I63" s="74" t="n">
        <x:f>IF(H63="","",ABS(H63))</x:f>
        <x:v>0.3250000000000002</x:v>
      </x:c>
      <x:c r="J63" s="75" t="n">
        <x:f>IF(I63="","",I63/B63*100)</x:f>
        <x:v>5.603448275862073</x:v>
      </x:c>
      <x:c r="K63" s="74" t="n">
        <x:v>4.95</x:v>
      </x:c>
      <x:c r="L63" s="74" t="n">
        <x:f>IF(K63="","",K63-B63)</x:f>
        <x:v>-0.8499999999999996</x:v>
      </x:c>
      <x:c r="M63" s="74" t="n">
        <x:f>IF(L63="","",ABS(L63))</x:f>
        <x:v>0.8499999999999996</x:v>
      </x:c>
      <x:c r="N63" s="75" t="n">
        <x:f>IF(M63="","",M63/B63*100)</x:f>
        <x:v>14.655172413793096</x:v>
      </x:c>
      <x:c r="O63" s="74" t="n">
        <x:v>6.75</x:v>
      </x:c>
      <x:c r="P63" s="74" t="n">
        <x:f>IF(O63="","",O63-B63)</x:f>
        <x:v>0.9500000000000002</x:v>
      </x:c>
      <x:c r="Q63" s="74" t="n">
        <x:f>IF(P63="","",ABS(P63))</x:f>
        <x:v>0.9500000000000002</x:v>
      </x:c>
      <x:c r="R63" s="75" t="n">
        <x:f>IF(Q63="","",Q63/B63*100)</x:f>
        <x:v>16.379310344827587</x:v>
      </x:c>
      <x:c r="S63" s="74" t="n">
        <x:v>5.6</x:v>
      </x:c>
      <x:c r="T63" s="74" t="n">
        <x:f>IF(S63="","",S63-B63)</x:f>
        <x:v>-0.20000000000000018</x:v>
      </x:c>
      <x:c r="U63" s="74" t="n">
        <x:f>IF(T63="","",ABS(T63))</x:f>
        <x:v>0.20000000000000018</x:v>
      </x:c>
      <x:c r="V63" s="75" t="n">
        <x:f>IF(U63="","",U63/B63*100)</x:f>
        <x:v>3.448275862068969</x:v>
      </x:c>
      <x:c r="W63" s="73" t="str">
        <x:f>IF(G63&lt;&gt;"","Genus",IF(K63&lt;&gt;"","Family",IF(O63&lt;&gt;"","Ecological proxy",IF(S63&lt;&gt;"","Broad","No fallback"))))</x:f>
        <x:v>Genus</x:v>
      </x:c>
      <x:c r="X63" s="74" t="n">
        <x:f>IF(G63&lt;&gt;"",G63,IF(K63&lt;&gt;"",K63,IF(O63&lt;&gt;"",O63,IF(S63&lt;&gt;"",S63,""))))</x:f>
        <x:v>5.475</x:v>
      </x:c>
      <x:c r="Y63" s="74" t="n">
        <x:f>IF(X63="","",X63-B63)</x:f>
        <x:v>-0.3250000000000002</x:v>
      </x:c>
      <x:c r="Z63" s="74" t="n">
        <x:f>IF(Y63="","",ABS(Y63))</x:f>
        <x:v>0.3250000000000002</x:v>
      </x:c>
      <x:c r="AA63" s="75" t="n">
        <x:f>IF(Z63="","",Z63/B63*100)</x:f>
        <x:v>5.603448275862073</x:v>
      </x:c>
      <x:c r="AB63" s="73" t="str"/>
    </x:row>
    <x:row r="64" ht="39.599998474121094" hidden="0" customHeight="1">
      <x:c r="A64" s="80" t="str">
        <x:v>Trachinus draco</x:v>
      </x:c>
      <x:c r="B64" s="74" t="n">
        <x:v>5.3</x:v>
      </x:c>
      <x:c r="C64" s="73" t="str">
        <x:v>Trachinus</x:v>
      </x:c>
      <x:c r="D64" s="73" t="str">
        <x:v>Trachinidae</x:v>
      </x:c>
      <x:c r="E64" s="73" t="str">
        <x:v>Unclassified teleosts</x:v>
      </x:c>
      <x:c r="F64" s="73" t="str">
        <x:v>Teleostei</x:v>
      </x:c>
      <x:c r="G64" s="74"/>
      <x:c r="H64" s="74" t="str">
        <x:f>IF(G64="","",G64-B64)</x:f>
      </x:c>
      <x:c r="I64" s="74" t="str">
        <x:f>IF(H64="","",ABS(H64))</x:f>
      </x:c>
      <x:c r="J64" s="75" t="str">
        <x:f>IF(I64="","",I64/B64*100)</x:f>
      </x:c>
      <x:c r="K64" s="74"/>
      <x:c r="L64" s="74" t="str">
        <x:f>IF(K64="","",K64-B64)</x:f>
      </x:c>
      <x:c r="M64" s="74" t="str">
        <x:f>IF(L64="","",ABS(L64))</x:f>
      </x:c>
      <x:c r="N64" s="75" t="str">
        <x:f>IF(M64="","",M64/B64*100)</x:f>
      </x:c>
      <x:c r="O64" s="74" t="n">
        <x:v>4.92</x:v>
      </x:c>
      <x:c r="P64" s="74" t="n">
        <x:f>IF(O64="","",O64-B64)</x:f>
        <x:v>-0.3799999999999999</x:v>
      </x:c>
      <x:c r="Q64" s="74" t="n">
        <x:f>IF(P64="","",ABS(P64))</x:f>
        <x:v>0.3799999999999999</x:v>
      </x:c>
      <x:c r="R64" s="75" t="n">
        <x:f>IF(Q64="","",Q64/B64*100)</x:f>
        <x:v>7.169811320754715</x:v>
      </x:c>
      <x:c r="S64" s="74" t="n">
        <x:v>5.64</x:v>
      </x:c>
      <x:c r="T64" s="74" t="n">
        <x:f>IF(S64="","",S64-B64)</x:f>
        <x:v>0.33999999999999986</x:v>
      </x:c>
      <x:c r="U64" s="74" t="n">
        <x:f>IF(T64="","",ABS(T64))</x:f>
        <x:v>0.33999999999999986</x:v>
      </x:c>
      <x:c r="V64" s="75" t="n">
        <x:f>IF(U64="","",U64/B64*100)</x:f>
        <x:v>6.415094339622638</x:v>
      </x:c>
      <x:c r="W64" s="73" t="str">
        <x:f>IF(G64&lt;&gt;"","Genus",IF(K64&lt;&gt;"","Family",IF(O64&lt;&gt;"","Ecological proxy",IF(S64&lt;&gt;"","Broad","No fallback"))))</x:f>
        <x:v>Ecological proxy</x:v>
      </x:c>
      <x:c r="X64" s="74" t="n">
        <x:f>IF(G64&lt;&gt;"",G64,IF(K64&lt;&gt;"",K64,IF(O64&lt;&gt;"",O64,IF(S64&lt;&gt;"",S64,""))))</x:f>
        <x:v>4.92</x:v>
      </x:c>
      <x:c r="Y64" s="74" t="n">
        <x:f>IF(X64="","",X64-B64)</x:f>
        <x:v>-0.3799999999999999</x:v>
      </x:c>
      <x:c r="Z64" s="74" t="n">
        <x:f>IF(Y64="","",ABS(Y64))</x:f>
        <x:v>0.3799999999999999</x:v>
      </x:c>
      <x:c r="AA64" s="75" t="n">
        <x:f>IF(Z64="","",Z64/B64*100)</x:f>
        <x:v>7.169811320754715</x:v>
      </x:c>
      <x:c r="AB64" s="73" t="str"/>
    </x:row>
    <x:row r="65" ht="39.599998474121094" hidden="0" customHeight="1">
      <x:c r="A65" s="80" t="str">
        <x:v>Paralipophrys trigloides</x:v>
      </x:c>
      <x:c r="B65" s="74" t="n">
        <x:v>5.5</x:v>
      </x:c>
      <x:c r="C65" s="73" t="str">
        <x:v>Paralipophrys</x:v>
      </x:c>
      <x:c r="D65" s="73" t="str">
        <x:v>Blenniidae</x:v>
      </x:c>
      <x:c r="E65" s="73" t="str">
        <x:v>Unclassified teleosts</x:v>
      </x:c>
      <x:c r="F65" s="73" t="str">
        <x:v>Teleostei</x:v>
      </x:c>
      <x:c r="G65" s="74"/>
      <x:c r="H65" s="74" t="str">
        <x:f>IF(G65="","",G65-B65)</x:f>
      </x:c>
      <x:c r="I65" s="74" t="str">
        <x:f>IF(H65="","",ABS(H65))</x:f>
      </x:c>
      <x:c r="J65" s="75" t="str">
        <x:f>IF(I65="","",I65/B65*100)</x:f>
      </x:c>
      <x:c r="K65" s="74"/>
      <x:c r="L65" s="74" t="str">
        <x:f>IF(K65="","",K65-B65)</x:f>
      </x:c>
      <x:c r="M65" s="74" t="str">
        <x:f>IF(L65="","",ABS(L65))</x:f>
      </x:c>
      <x:c r="N65" s="75" t="str">
        <x:f>IF(M65="","",M65/B65*100)</x:f>
      </x:c>
      <x:c r="O65" s="74" t="n">
        <x:v>4.92</x:v>
      </x:c>
      <x:c r="P65" s="74" t="n">
        <x:f>IF(O65="","",O65-B65)</x:f>
        <x:v>-0.5800000000000001</x:v>
      </x:c>
      <x:c r="Q65" s="74" t="n">
        <x:f>IF(P65="","",ABS(P65))</x:f>
        <x:v>0.5800000000000001</x:v>
      </x:c>
      <x:c r="R65" s="75" t="n">
        <x:f>IF(Q65="","",Q65/B65*100)</x:f>
        <x:v>10.545454545454547</x:v>
      </x:c>
      <x:c r="S65" s="74" t="n">
        <x:v>5.64</x:v>
      </x:c>
      <x:c r="T65" s="74" t="n">
        <x:f>IF(S65="","",S65-B65)</x:f>
        <x:v>0.13999999999999968</x:v>
      </x:c>
      <x:c r="U65" s="74" t="n">
        <x:f>IF(T65="","",ABS(T65))</x:f>
        <x:v>0.13999999999999968</x:v>
      </x:c>
      <x:c r="V65" s="75" t="n">
        <x:f>IF(U65="","",U65/B65*100)</x:f>
        <x:v>2.5454545454545396</x:v>
      </x:c>
      <x:c r="W65" s="73" t="str">
        <x:f>IF(G65&lt;&gt;"","Genus",IF(K65&lt;&gt;"","Family",IF(O65&lt;&gt;"","Ecological proxy",IF(S65&lt;&gt;"","Broad","No fallback"))))</x:f>
        <x:v>Ecological proxy</x:v>
      </x:c>
      <x:c r="X65" s="74" t="n">
        <x:f>IF(G65&lt;&gt;"",G65,IF(K65&lt;&gt;"",K65,IF(O65&lt;&gt;"",O65,IF(S65&lt;&gt;"",S65,""))))</x:f>
        <x:v>4.92</x:v>
      </x:c>
      <x:c r="Y65" s="74" t="n">
        <x:f>IF(X65="","",X65-B65)</x:f>
        <x:v>-0.5800000000000001</x:v>
      </x:c>
      <x:c r="Z65" s="74" t="n">
        <x:f>IF(Y65="","",ABS(Y65))</x:f>
        <x:v>0.5800000000000001</x:v>
      </x:c>
      <x:c r="AA65" s="75" t="n">
        <x:f>IF(Z65="","",Z65/B65*100)</x:f>
        <x:v>10.545454545454547</x:v>
      </x:c>
      <x:c r="AB65" s="73" t="str"/>
    </x:row>
    <x:row r="66" ht="39.599998474121094" hidden="0" customHeight="1">
      <x:c r="A66" s="80" t="str">
        <x:v>Callionymus lyra</x:v>
      </x:c>
      <x:c r="B66" s="74" t="n">
        <x:v>5.2</x:v>
      </x:c>
      <x:c r="C66" s="73" t="str">
        <x:v>Callionymus</x:v>
      </x:c>
      <x:c r="D66" s="73" t="str">
        <x:v>Callionymidae</x:v>
      </x:c>
      <x:c r="E66" s="73" t="str">
        <x:v>Unclassified teleosts</x:v>
      </x:c>
      <x:c r="F66" s="73" t="str">
        <x:v>Teleostei</x:v>
      </x:c>
      <x:c r="G66" s="74"/>
      <x:c r="H66" s="74" t="str">
        <x:f>IF(G66="","",G66-B66)</x:f>
      </x:c>
      <x:c r="I66" s="74" t="str">
        <x:f>IF(H66="","",ABS(H66))</x:f>
      </x:c>
      <x:c r="J66" s="75" t="str">
        <x:f>IF(I66="","",I66/B66*100)</x:f>
      </x:c>
      <x:c r="K66" s="74"/>
      <x:c r="L66" s="74" t="str">
        <x:f>IF(K66="","",K66-B66)</x:f>
      </x:c>
      <x:c r="M66" s="74" t="str">
        <x:f>IF(L66="","",ABS(L66))</x:f>
      </x:c>
      <x:c r="N66" s="75" t="str">
        <x:f>IF(M66="","",M66/B66*100)</x:f>
      </x:c>
      <x:c r="O66" s="74" t="n">
        <x:v>4.92</x:v>
      </x:c>
      <x:c r="P66" s="74" t="n">
        <x:f>IF(O66="","",O66-B66)</x:f>
        <x:v>-0.28000000000000025</x:v>
      </x:c>
      <x:c r="Q66" s="74" t="n">
        <x:f>IF(P66="","",ABS(P66))</x:f>
        <x:v>0.28000000000000025</x:v>
      </x:c>
      <x:c r="R66" s="75" t="n">
        <x:f>IF(Q66="","",Q66/B66*100)</x:f>
        <x:v>5.3846153846153895</x:v>
      </x:c>
      <x:c r="S66" s="74" t="n">
        <x:v>5.64</x:v>
      </x:c>
      <x:c r="T66" s="74" t="n">
        <x:f>IF(S66="","",S66-B66)</x:f>
        <x:v>0.4399999999999995</x:v>
      </x:c>
      <x:c r="U66" s="74" t="n">
        <x:f>IF(T66="","",ABS(T66))</x:f>
        <x:v>0.4399999999999995</x:v>
      </x:c>
      <x:c r="V66" s="75" t="n">
        <x:f>IF(U66="","",U66/B66*100)</x:f>
        <x:v>8.461538461538453</x:v>
      </x:c>
      <x:c r="W66" s="73" t="str">
        <x:f>IF(G66&lt;&gt;"","Genus",IF(K66&lt;&gt;"","Family",IF(O66&lt;&gt;"","Ecological proxy",IF(S66&lt;&gt;"","Broad","No fallback"))))</x:f>
        <x:v>Ecological proxy</x:v>
      </x:c>
      <x:c r="X66" s="74" t="n">
        <x:f>IF(G66&lt;&gt;"",G66,IF(K66&lt;&gt;"",K66,IF(O66&lt;&gt;"",O66,IF(S66&lt;&gt;"",S66,""))))</x:f>
        <x:v>4.92</x:v>
      </x:c>
      <x:c r="Y66" s="74" t="n">
        <x:f>IF(X66="","",X66-B66)</x:f>
        <x:v>-0.28000000000000025</x:v>
      </x:c>
      <x:c r="Z66" s="74" t="n">
        <x:f>IF(Y66="","",ABS(Y66))</x:f>
        <x:v>0.28000000000000025</x:v>
      </x:c>
      <x:c r="AA66" s="75" t="n">
        <x:f>IF(Z66="","",Z66/B66*100)</x:f>
        <x:v>5.3846153846153895</x:v>
      </x:c>
      <x:c r="AB66" s="73" t="str"/>
    </x:row>
    <x:row r="67" ht="39.599998474121094" hidden="0" customHeight="1">
      <x:c r="A67" s="80" t="str">
        <x:v>Lesueurigobius friesii</x:v>
      </x:c>
      <x:c r="B67" s="74" t="n">
        <x:v>5.6</x:v>
      </x:c>
      <x:c r="C67" s="73" t="str">
        <x:v>Lesueurigobius</x:v>
      </x:c>
      <x:c r="D67" s="73" t="str">
        <x:v>Gobiidae</x:v>
      </x:c>
      <x:c r="E67" s="73" t="str">
        <x:v>Unclassified teleosts</x:v>
      </x:c>
      <x:c r="F67" s="73" t="str">
        <x:v>Teleostei</x:v>
      </x:c>
      <x:c r="G67" s="74"/>
      <x:c r="H67" s="74" t="str">
        <x:f>IF(G67="","",G67-B67)</x:f>
      </x:c>
      <x:c r="I67" s="74" t="str">
        <x:f>IF(H67="","",ABS(H67))</x:f>
      </x:c>
      <x:c r="J67" s="75" t="str">
        <x:f>IF(I67="","",I67/B67*100)</x:f>
      </x:c>
      <x:c r="K67" s="74" t="n">
        <x:v>4.26</x:v>
      </x:c>
      <x:c r="L67" s="74" t="n">
        <x:f>IF(K67="","",K67-B67)</x:f>
        <x:v>-1.3399999999999999</x:v>
      </x:c>
      <x:c r="M67" s="74" t="n">
        <x:f>IF(L67="","",ABS(L67))</x:f>
        <x:v>1.3399999999999999</x:v>
      </x:c>
      <x:c r="N67" s="75" t="n">
        <x:f>IF(M67="","",M67/B67*100)</x:f>
        <x:v>23.928571428571427</x:v>
      </x:c>
      <x:c r="O67" s="74" t="n">
        <x:v>4.92</x:v>
      </x:c>
      <x:c r="P67" s="74" t="n">
        <x:f>IF(O67="","",O67-B67)</x:f>
        <x:v>-0.6799999999999997</x:v>
      </x:c>
      <x:c r="Q67" s="74" t="n">
        <x:f>IF(P67="","",ABS(P67))</x:f>
        <x:v>0.6799999999999997</x:v>
      </x:c>
      <x:c r="R67" s="75" t="n">
        <x:f>IF(Q67="","",Q67/B67*100)</x:f>
        <x:v>12.142857142857139</x:v>
      </x:c>
      <x:c r="S67" s="74" t="n">
        <x:v>5.64</x:v>
      </x:c>
      <x:c r="T67" s="74" t="n">
        <x:f>IF(S67="","",S67-B67)</x:f>
        <x:v>0.040000000000000036</x:v>
      </x:c>
      <x:c r="U67" s="74" t="n">
        <x:f>IF(T67="","",ABS(T67))</x:f>
        <x:v>0.040000000000000036</x:v>
      </x:c>
      <x:c r="V67" s="75" t="n">
        <x:f>IF(U67="","",U67/B67*100)</x:f>
        <x:v>0.714285714285715</x:v>
      </x:c>
      <x:c r="W67" s="73" t="str">
        <x:f>IF(G67&lt;&gt;"","Genus",IF(K67&lt;&gt;"","Family",IF(O67&lt;&gt;"","Ecological proxy",IF(S67&lt;&gt;"","Broad","No fallback"))))</x:f>
        <x:v>Family</x:v>
      </x:c>
      <x:c r="X67" s="74" t="n">
        <x:f>IF(G67&lt;&gt;"",G67,IF(K67&lt;&gt;"",K67,IF(O67&lt;&gt;"",O67,IF(S67&lt;&gt;"",S67,""))))</x:f>
        <x:v>4.26</x:v>
      </x:c>
      <x:c r="Y67" s="74" t="n">
        <x:f>IF(X67="","",X67-B67)</x:f>
        <x:v>-1.3399999999999999</x:v>
      </x:c>
      <x:c r="Z67" s="74" t="n">
        <x:f>IF(Y67="","",ABS(Y67))</x:f>
        <x:v>1.3399999999999999</x:v>
      </x:c>
      <x:c r="AA67" s="75" t="n">
        <x:f>IF(Z67="","",Z67/B67*100)</x:f>
        <x:v>23.928571428571427</x:v>
      </x:c>
      <x:c r="AB67" s="73" t="str"/>
    </x:row>
    <x:row r="68" ht="52.79999923706055" hidden="0" customHeight="1">
      <x:c r="A68" s="80" t="str">
        <x:v>Scomber scombrus</x:v>
      </x:c>
      <x:c r="B68" s="74" t="n">
        <x:v>6.815</x:v>
      </x:c>
      <x:c r="C68" s="73" t="str">
        <x:v>Scomber</x:v>
      </x:c>
      <x:c r="D68" s="73" t="str">
        <x:v>Scombridae</x:v>
      </x:c>
      <x:c r="E68" s="73" t="str">
        <x:v>Small pelagic forage fishes</x:v>
      </x:c>
      <x:c r="F68" s="73" t="str">
        <x:v>Teleostei</x:v>
      </x:c>
      <x:c r="G68" s="74" t="n">
        <x:v>5.43</x:v>
      </x:c>
      <x:c r="H68" s="74" t="n">
        <x:f>IF(G68="","",G68-B68)</x:f>
        <x:v>-1.3850000000000007</x:v>
      </x:c>
      <x:c r="I68" s="74" t="n">
        <x:f>IF(H68="","",ABS(H68))</x:f>
        <x:v>1.3850000000000007</x:v>
      </x:c>
      <x:c r="J68" s="75" t="n">
        <x:f>IF(I68="","",I68/B68*100)</x:f>
        <x:v>20.322817314746892</x:v>
      </x:c>
      <x:c r="K68" s="74" t="n">
        <x:v>5.43</x:v>
      </x:c>
      <x:c r="L68" s="74" t="n">
        <x:f>IF(K68="","",K68-B68)</x:f>
        <x:v>-1.3850000000000007</x:v>
      </x:c>
      <x:c r="M68" s="74" t="n">
        <x:f>IF(L68="","",ABS(L68))</x:f>
        <x:v>1.3850000000000007</x:v>
      </x:c>
      <x:c r="N68" s="75" t="n">
        <x:f>IF(M68="","",M68/B68*100)</x:f>
        <x:v>20.322817314746892</x:v>
      </x:c>
      <x:c r="O68" s="74" t="n">
        <x:v>6.74</x:v>
      </x:c>
      <x:c r="P68" s="74" t="n">
        <x:f>IF(O68="","",O68-B68)</x:f>
        <x:v>-0.07500000000000018</x:v>
      </x:c>
      <x:c r="Q68" s="74" t="n">
        <x:f>IF(P68="","",ABS(P68))</x:f>
        <x:v>0.07500000000000018</x:v>
      </x:c>
      <x:c r="R68" s="75" t="n">
        <x:f>IF(Q68="","",Q68/B68*100)</x:f>
        <x:v>1.1005135730007363</x:v>
      </x:c>
      <x:c r="S68" s="74" t="n">
        <x:v>5.6</x:v>
      </x:c>
      <x:c r="T68" s="74" t="n">
        <x:f>IF(S68="","",S68-B68)</x:f>
        <x:v>-1.2150000000000007</x:v>
      </x:c>
      <x:c r="U68" s="74" t="n">
        <x:f>IF(T68="","",ABS(T68))</x:f>
        <x:v>1.2150000000000007</x:v>
      </x:c>
      <x:c r="V68" s="75" t="n">
        <x:f>IF(U68="","",U68/B68*100)</x:f>
        <x:v>17.828319882611897</x:v>
      </x:c>
      <x:c r="W68" s="73" t="str">
        <x:f>IF(G68&lt;&gt;"","Genus",IF(K68&lt;&gt;"","Family",IF(O68&lt;&gt;"","Ecological proxy",IF(S68&lt;&gt;"","Broad","No fallback"))))</x:f>
        <x:v>Genus</x:v>
      </x:c>
      <x:c r="X68" s="74" t="n">
        <x:f>IF(G68&lt;&gt;"",G68,IF(K68&lt;&gt;"",K68,IF(O68&lt;&gt;"",O68,IF(S68&lt;&gt;"",S68,""))))</x:f>
        <x:v>5.43</x:v>
      </x:c>
      <x:c r="Y68" s="74" t="n">
        <x:f>IF(X68="","",X68-B68)</x:f>
        <x:v>-1.3850000000000007</x:v>
      </x:c>
      <x:c r="Z68" s="74" t="n">
        <x:f>IF(Y68="","",ABS(Y68))</x:f>
        <x:v>1.3850000000000007</x:v>
      </x:c>
      <x:c r="AA68" s="75" t="n">
        <x:f>IF(Z68="","",Z68/B68*100)</x:f>
        <x:v>20.322817314746892</x:v>
      </x:c>
      <x:c r="AB68" s="73" t="str"/>
    </x:row>
    <x:row r="69" ht="52.79999923706055" hidden="0" customHeight="1">
      <x:c r="A69" s="80" t="str">
        <x:v>Lepidorhombus whiffiagonis</x:v>
      </x:c>
      <x:c r="B69" s="74" t="n">
        <x:v>6.1</x:v>
      </x:c>
      <x:c r="C69" s="73" t="str">
        <x:v>Lepidorhombus</x:v>
      </x:c>
      <x:c r="D69" s="73" t="str">
        <x:v>Scophthalmidae</x:v>
      </x:c>
      <x:c r="E69" s="73" t="str">
        <x:v>Demersal flatfishes</x:v>
      </x:c>
      <x:c r="F69" s="73" t="str">
        <x:v>Teleostei</x:v>
      </x:c>
      <x:c r="G69" s="74"/>
      <x:c r="H69" s="74" t="str">
        <x:f>IF(G69="","",G69-B69)</x:f>
      </x:c>
      <x:c r="I69" s="74" t="str">
        <x:f>IF(H69="","",ABS(H69))</x:f>
      </x:c>
      <x:c r="J69" s="75" t="str">
        <x:f>IF(I69="","",I69/B69*100)</x:f>
      </x:c>
      <x:c r="K69" s="74"/>
      <x:c r="L69" s="74" t="str">
        <x:f>IF(K69="","",K69-B69)</x:f>
      </x:c>
      <x:c r="M69" s="74" t="str">
        <x:f>IF(L69="","",ABS(L69))</x:f>
      </x:c>
      <x:c r="N69" s="75" t="str">
        <x:f>IF(M69="","",M69/B69*100)</x:f>
      </x:c>
      <x:c r="O69" s="74" t="n">
        <x:v>4.98</x:v>
      </x:c>
      <x:c r="P69" s="74" t="n">
        <x:f>IF(O69="","",O69-B69)</x:f>
        <x:v>-1.1199999999999992</x:v>
      </x:c>
      <x:c r="Q69" s="74" t="n">
        <x:f>IF(P69="","",ABS(P69))</x:f>
        <x:v>1.1199999999999992</x:v>
      </x:c>
      <x:c r="R69" s="75" t="n">
        <x:f>IF(Q69="","",Q69/B69*100)</x:f>
        <x:v>18.360655737704906</x:v>
      </x:c>
      <x:c r="S69" s="74" t="n">
        <x:v>5.6</x:v>
      </x:c>
      <x:c r="T69" s="74" t="n">
        <x:f>IF(S69="","",S69-B69)</x:f>
        <x:v>-0.5</x:v>
      </x:c>
      <x:c r="U69" s="74" t="n">
        <x:f>IF(T69="","",ABS(T69))</x:f>
        <x:v>0.5</x:v>
      </x:c>
      <x:c r="V69" s="75" t="n">
        <x:f>IF(U69="","",U69/B69*100)</x:f>
        <x:v>8.196721311475411</x:v>
      </x:c>
      <x:c r="W69" s="73" t="str">
        <x:f>IF(G69&lt;&gt;"","Genus",IF(K69&lt;&gt;"","Family",IF(O69&lt;&gt;"","Ecological proxy",IF(S69&lt;&gt;"","Broad","No fallback"))))</x:f>
        <x:v>Ecological proxy</x:v>
      </x:c>
      <x:c r="X69" s="74" t="n">
        <x:f>IF(G69&lt;&gt;"",G69,IF(K69&lt;&gt;"",K69,IF(O69&lt;&gt;"",O69,IF(S69&lt;&gt;"",S69,""))))</x:f>
        <x:v>4.98</x:v>
      </x:c>
      <x:c r="Y69" s="74" t="n">
        <x:f>IF(X69="","",X69-B69)</x:f>
        <x:v>-1.1199999999999992</x:v>
      </x:c>
      <x:c r="Z69" s="74" t="n">
        <x:f>IF(Y69="","",ABS(Y69))</x:f>
        <x:v>1.1199999999999992</x:v>
      </x:c>
      <x:c r="AA69" s="75" t="n">
        <x:f>IF(Z69="","",Z69/B69*100)</x:f>
        <x:v>18.360655737704906</x:v>
      </x:c>
      <x:c r="AB69" s="73" t="str"/>
    </x:row>
    <x:row r="70" ht="39.599998474121094" hidden="0" customHeight="1">
      <x:c r="A70" s="80" t="str">
        <x:v>Arnoglossus imperialis</x:v>
      </x:c>
      <x:c r="B70" s="74" t="n">
        <x:v>5.4</x:v>
      </x:c>
      <x:c r="C70" s="73" t="str">
        <x:v>Arnoglossus</x:v>
      </x:c>
      <x:c r="D70" s="73" t="str">
        <x:v>Bothidae</x:v>
      </x:c>
      <x:c r="E70" s="73" t="str">
        <x:v>Demersal flatfishes</x:v>
      </x:c>
      <x:c r="F70" s="73" t="str">
        <x:v>Teleostei</x:v>
      </x:c>
      <x:c r="G70" s="74"/>
      <x:c r="H70" s="74" t="str">
        <x:f>IF(G70="","",G70-B70)</x:f>
      </x:c>
      <x:c r="I70" s="74" t="str">
        <x:f>IF(H70="","",ABS(H70))</x:f>
      </x:c>
      <x:c r="J70" s="75" t="str">
        <x:f>IF(I70="","",I70/B70*100)</x:f>
      </x:c>
      <x:c r="K70" s="74"/>
      <x:c r="L70" s="74" t="str">
        <x:f>IF(K70="","",K70-B70)</x:f>
      </x:c>
      <x:c r="M70" s="74" t="str">
        <x:f>IF(L70="","",ABS(L70))</x:f>
      </x:c>
      <x:c r="N70" s="75" t="str">
        <x:f>IF(M70="","",M70/B70*100)</x:f>
      </x:c>
      <x:c r="O70" s="74" t="n">
        <x:v>4.98</x:v>
      </x:c>
      <x:c r="P70" s="74" t="n">
        <x:f>IF(O70="","",O70-B70)</x:f>
        <x:v>-0.41999999999999993</x:v>
      </x:c>
      <x:c r="Q70" s="74" t="n">
        <x:f>IF(P70="","",ABS(P70))</x:f>
        <x:v>0.41999999999999993</x:v>
      </x:c>
      <x:c r="R70" s="75" t="n">
        <x:f>IF(Q70="","",Q70/B70*100)</x:f>
        <x:v>7.777777777777777</x:v>
      </x:c>
      <x:c r="S70" s="74" t="n">
        <x:v>5.64</x:v>
      </x:c>
      <x:c r="T70" s="74" t="n">
        <x:f>IF(S70="","",S70-B70)</x:f>
        <x:v>0.23999999999999932</x:v>
      </x:c>
      <x:c r="U70" s="74" t="n">
        <x:f>IF(T70="","",ABS(T70))</x:f>
        <x:v>0.23999999999999932</x:v>
      </x:c>
      <x:c r="V70" s="75" t="n">
        <x:f>IF(U70="","",U70/B70*100)</x:f>
        <x:v>4.444444444444431</x:v>
      </x:c>
      <x:c r="W70" s="73" t="str">
        <x:f>IF(G70&lt;&gt;"","Genus",IF(K70&lt;&gt;"","Family",IF(O70&lt;&gt;"","Ecological proxy",IF(S70&lt;&gt;"","Broad","No fallback"))))</x:f>
        <x:v>Ecological proxy</x:v>
      </x:c>
      <x:c r="X70" s="74" t="n">
        <x:f>IF(G70&lt;&gt;"",G70,IF(K70&lt;&gt;"",K70,IF(O70&lt;&gt;"",O70,IF(S70&lt;&gt;"",S70,""))))</x:f>
        <x:v>4.98</x:v>
      </x:c>
      <x:c r="Y70" s="74" t="n">
        <x:f>IF(X70="","",X70-B70)</x:f>
        <x:v>-0.41999999999999993</x:v>
      </x:c>
      <x:c r="Z70" s="74" t="n">
        <x:f>IF(Y70="","",ABS(Y70))</x:f>
        <x:v>0.41999999999999993</x:v>
      </x:c>
      <x:c r="AA70" s="75" t="n">
        <x:f>IF(Z70="","",Z70/B70*100)</x:f>
        <x:v>7.777777777777777</x:v>
      </x:c>
      <x:c r="AB70" s="73" t="str"/>
    </x:row>
    <x:row r="71" ht="52.79999923706055" hidden="0" customHeight="1">
      <x:c r="A71" s="80" t="str">
        <x:v>Glyptocephalus cynoglossus</x:v>
      </x:c>
      <x:c r="B71" s="74" t="n">
        <x:v>5.6</x:v>
      </x:c>
      <x:c r="C71" s="73" t="str">
        <x:v>Glyptocephalus</x:v>
      </x:c>
      <x:c r="D71" s="73" t="str">
        <x:v>Pleuronectidae</x:v>
      </x:c>
      <x:c r="E71" s="73" t="str">
        <x:v>Demersal flatfishes</x:v>
      </x:c>
      <x:c r="F71" s="73" t="str">
        <x:v>Teleostei</x:v>
      </x:c>
      <x:c r="G71" s="74"/>
      <x:c r="H71" s="74" t="str">
        <x:f>IF(G71="","",G71-B71)</x:f>
      </x:c>
      <x:c r="I71" s="74" t="str">
        <x:f>IF(H71="","",ABS(H71))</x:f>
      </x:c>
      <x:c r="J71" s="75" t="str">
        <x:f>IF(I71="","",I71/B71*100)</x:f>
      </x:c>
      <x:c r="K71" s="74" t="n">
        <x:v>5.395</x:v>
      </x:c>
      <x:c r="L71" s="74" t="n">
        <x:f>IF(K71="","",K71-B71)</x:f>
        <x:v>-0.20500000000000007</x:v>
      </x:c>
      <x:c r="M71" s="74" t="n">
        <x:f>IF(L71="","",ABS(L71))</x:f>
        <x:v>0.20500000000000007</x:v>
      </x:c>
      <x:c r="N71" s="75" t="n">
        <x:f>IF(M71="","",M71/B71*100)</x:f>
        <x:v>3.6607142857142874</x:v>
      </x:c>
      <x:c r="O71" s="74" t="n">
        <x:v>4.98</x:v>
      </x:c>
      <x:c r="P71" s="74" t="n">
        <x:f>IF(O71="","",O71-B71)</x:f>
        <x:v>-0.6199999999999992</x:v>
      </x:c>
      <x:c r="Q71" s="74" t="n">
        <x:f>IF(P71="","",ABS(P71))</x:f>
        <x:v>0.6199999999999992</x:v>
      </x:c>
      <x:c r="R71" s="75" t="n">
        <x:f>IF(Q71="","",Q71/B71*100)</x:f>
        <x:v>11.071428571428559</x:v>
      </x:c>
      <x:c r="S71" s="74" t="n">
        <x:v>5.64</x:v>
      </x:c>
      <x:c r="T71" s="74" t="n">
        <x:f>IF(S71="","",S71-B71)</x:f>
        <x:v>0.040000000000000036</x:v>
      </x:c>
      <x:c r="U71" s="74" t="n">
        <x:f>IF(T71="","",ABS(T71))</x:f>
        <x:v>0.040000000000000036</x:v>
      </x:c>
      <x:c r="V71" s="75" t="n">
        <x:f>IF(U71="","",U71/B71*100)</x:f>
        <x:v>0.714285714285715</x:v>
      </x:c>
      <x:c r="W71" s="73" t="str">
        <x:f>IF(G71&lt;&gt;"","Genus",IF(K71&lt;&gt;"","Family",IF(O71&lt;&gt;"","Ecological proxy",IF(S71&lt;&gt;"","Broad","No fallback"))))</x:f>
        <x:v>Family</x:v>
      </x:c>
      <x:c r="X71" s="74" t="n">
        <x:f>IF(G71&lt;&gt;"",G71,IF(K71&lt;&gt;"",K71,IF(O71&lt;&gt;"",O71,IF(S71&lt;&gt;"",S71,""))))</x:f>
        <x:v>5.395</x:v>
      </x:c>
      <x:c r="Y71" s="74" t="n">
        <x:f>IF(X71="","",X71-B71)</x:f>
        <x:v>-0.20500000000000007</x:v>
      </x:c>
      <x:c r="Z71" s="74" t="n">
        <x:f>IF(Y71="","",ABS(Y71))</x:f>
        <x:v>0.20500000000000007</x:v>
      </x:c>
      <x:c r="AA71" s="75" t="n">
        <x:f>IF(Z71="","",Z71/B71*100)</x:f>
        <x:v>3.6607142857142874</x:v>
      </x:c>
      <x:c r="AB71" s="73" t="str"/>
    </x:row>
    <x:row r="72" ht="26.399999618530273" hidden="0" customHeight="1">
      <x:c r="A72" s="80" t="str">
        <x:v>Microstomus kitt</x:v>
      </x:c>
      <x:c r="B72" s="74" t="n">
        <x:v>5.8</x:v>
      </x:c>
      <x:c r="C72" s="73" t="str">
        <x:v>Microstomus</x:v>
      </x:c>
      <x:c r="D72" s="73" t="str">
        <x:v>Pleuronectidae</x:v>
      </x:c>
      <x:c r="E72" s="73" t="str">
        <x:v>Demersal flatfishes</x:v>
      </x:c>
      <x:c r="F72" s="73" t="str">
        <x:v>Teleostei</x:v>
      </x:c>
      <x:c r="G72" s="74"/>
      <x:c r="H72" s="74" t="str">
        <x:f>IF(G72="","",G72-B72)</x:f>
      </x:c>
      <x:c r="I72" s="74" t="str">
        <x:f>IF(H72="","",ABS(H72))</x:f>
      </x:c>
      <x:c r="J72" s="75" t="str">
        <x:f>IF(I72="","",I72/B72*100)</x:f>
      </x:c>
      <x:c r="K72" s="74" t="n">
        <x:v>5.295</x:v>
      </x:c>
      <x:c r="L72" s="74" t="n">
        <x:f>IF(K72="","",K72-B72)</x:f>
        <x:v>-0.5049999999999999</x:v>
      </x:c>
      <x:c r="M72" s="74" t="n">
        <x:f>IF(L72="","",ABS(L72))</x:f>
        <x:v>0.5049999999999999</x:v>
      </x:c>
      <x:c r="N72" s="75" t="n">
        <x:f>IF(M72="","",M72/B72*100)</x:f>
        <x:v>8.706896551724135</x:v>
      </x:c>
      <x:c r="O72" s="74" t="n">
        <x:v>4.98</x:v>
      </x:c>
      <x:c r="P72" s="74" t="n">
        <x:f>IF(O72="","",O72-B72)</x:f>
        <x:v>-0.8199999999999994</x:v>
      </x:c>
      <x:c r="Q72" s="74" t="n">
        <x:f>IF(P72="","",ABS(P72))</x:f>
        <x:v>0.8199999999999994</x:v>
      </x:c>
      <x:c r="R72" s="75" t="n">
        <x:f>IF(Q72="","",Q72/B72*100)</x:f>
        <x:v>14.137931034482747</x:v>
      </x:c>
      <x:c r="S72" s="74" t="n">
        <x:v>5.6</x:v>
      </x:c>
      <x:c r="T72" s="74" t="n">
        <x:f>IF(S72="","",S72-B72)</x:f>
        <x:v>-0.20000000000000018</x:v>
      </x:c>
      <x:c r="U72" s="74" t="n">
        <x:f>IF(T72="","",ABS(T72))</x:f>
        <x:v>0.20000000000000018</x:v>
      </x:c>
      <x:c r="V72" s="75" t="n">
        <x:f>IF(U72="","",U72/B72*100)</x:f>
        <x:v>3.448275862068969</x:v>
      </x:c>
      <x:c r="W72" s="73" t="str">
        <x:f>IF(G72&lt;&gt;"","Genus",IF(K72&lt;&gt;"","Family",IF(O72&lt;&gt;"","Ecological proxy",IF(S72&lt;&gt;"","Broad","No fallback"))))</x:f>
        <x:v>Family</x:v>
      </x:c>
      <x:c r="X72" s="74" t="n">
        <x:f>IF(G72&lt;&gt;"",G72,IF(K72&lt;&gt;"",K72,IF(O72&lt;&gt;"",O72,IF(S72&lt;&gt;"",S72,""))))</x:f>
        <x:v>5.295</x:v>
      </x:c>
      <x:c r="Y72" s="74" t="n">
        <x:f>IF(X72="","",X72-B72)</x:f>
        <x:v>-0.5049999999999999</x:v>
      </x:c>
      <x:c r="Z72" s="74" t="n">
        <x:f>IF(Y72="","",ABS(Y72))</x:f>
        <x:v>0.5049999999999999</x:v>
      </x:c>
      <x:c r="AA72" s="75" t="n">
        <x:f>IF(Z72="","",Z72/B72*100)</x:f>
        <x:v>8.706896551724135</x:v>
      </x:c>
      <x:c r="AB72" s="73" t="str"/>
    </x:row>
    <x:row r="73" ht="39.599998474121094" hidden="0" customHeight="1">
      <x:c r="A73" s="80" t="str">
        <x:v>Pleuronectes platessa</x:v>
      </x:c>
      <x:c r="B73" s="74" t="n">
        <x:v>5.8</x:v>
      </x:c>
      <x:c r="C73" s="73" t="str">
        <x:v>Pleuronectes</x:v>
      </x:c>
      <x:c r="D73" s="73" t="str">
        <x:v>Pleuronectidae</x:v>
      </x:c>
      <x:c r="E73" s="73" t="str">
        <x:v>Demersal flatfishes</x:v>
      </x:c>
      <x:c r="F73" s="73" t="str">
        <x:v>Teleostei</x:v>
      </x:c>
      <x:c r="G73" s="74"/>
      <x:c r="H73" s="74" t="str">
        <x:f>IF(G73="","",G73-B73)</x:f>
      </x:c>
      <x:c r="I73" s="74" t="str">
        <x:f>IF(H73="","",ABS(H73))</x:f>
      </x:c>
      <x:c r="J73" s="75" t="str">
        <x:f>IF(I73="","",I73/B73*100)</x:f>
      </x:c>
      <x:c r="K73" s="74" t="n">
        <x:v>5.295</x:v>
      </x:c>
      <x:c r="L73" s="74" t="n">
        <x:f>IF(K73="","",K73-B73)</x:f>
        <x:v>-0.5049999999999999</x:v>
      </x:c>
      <x:c r="M73" s="74" t="n">
        <x:f>IF(L73="","",ABS(L73))</x:f>
        <x:v>0.5049999999999999</x:v>
      </x:c>
      <x:c r="N73" s="75" t="n">
        <x:f>IF(M73="","",M73/B73*100)</x:f>
        <x:v>8.706896551724135</x:v>
      </x:c>
      <x:c r="O73" s="74" t="n">
        <x:v>4.98</x:v>
      </x:c>
      <x:c r="P73" s="74" t="n">
        <x:f>IF(O73="","",O73-B73)</x:f>
        <x:v>-0.8199999999999994</x:v>
      </x:c>
      <x:c r="Q73" s="74" t="n">
        <x:f>IF(P73="","",ABS(P73))</x:f>
        <x:v>0.8199999999999994</x:v>
      </x:c>
      <x:c r="R73" s="75" t="n">
        <x:f>IF(Q73="","",Q73/B73*100)</x:f>
        <x:v>14.137931034482747</x:v>
      </x:c>
      <x:c r="S73" s="74" t="n">
        <x:v>5.6</x:v>
      </x:c>
      <x:c r="T73" s="74" t="n">
        <x:f>IF(S73="","",S73-B73)</x:f>
        <x:v>-0.20000000000000018</x:v>
      </x:c>
      <x:c r="U73" s="74" t="n">
        <x:f>IF(T73="","",ABS(T73))</x:f>
        <x:v>0.20000000000000018</x:v>
      </x:c>
      <x:c r="V73" s="75" t="n">
        <x:f>IF(U73="","",U73/B73*100)</x:f>
        <x:v>3.448275862068969</x:v>
      </x:c>
      <x:c r="W73" s="73" t="str">
        <x:f>IF(G73&lt;&gt;"","Genus",IF(K73&lt;&gt;"","Family",IF(O73&lt;&gt;"","Ecological proxy",IF(S73&lt;&gt;"","Broad","No fallback"))))</x:f>
        <x:v>Family</x:v>
      </x:c>
      <x:c r="X73" s="74" t="n">
        <x:f>IF(G73&lt;&gt;"",G73,IF(K73&lt;&gt;"",K73,IF(O73&lt;&gt;"",O73,IF(S73&lt;&gt;"",S73,""))))</x:f>
        <x:v>5.295</x:v>
      </x:c>
      <x:c r="Y73" s="74" t="n">
        <x:f>IF(X73="","",X73-B73)</x:f>
        <x:v>-0.5049999999999999</x:v>
      </x:c>
      <x:c r="Z73" s="74" t="n">
        <x:f>IF(Y73="","",ABS(Y73))</x:f>
        <x:v>0.5049999999999999</x:v>
      </x:c>
      <x:c r="AA73" s="75" t="n">
        <x:f>IF(Z73="","",Z73/B73*100)</x:f>
        <x:v>8.706896551724135</x:v>
      </x:c>
      <x:c r="AB73" s="73" t="str"/>
    </x:row>
    <x:row r="74" ht="26.399999618530273" hidden="0" customHeight="1">
      <x:c r="A74" s="80" t="str">
        <x:v>Solea solea</x:v>
      </x:c>
      <x:c r="B74" s="74" t="n">
        <x:v>5</x:v>
      </x:c>
      <x:c r="C74" s="73" t="str">
        <x:v>Solea</x:v>
      </x:c>
      <x:c r="D74" s="73" t="str">
        <x:v>Soleidae</x:v>
      </x:c>
      <x:c r="E74" s="73" t="str">
        <x:v>Demersal flatfishes</x:v>
      </x:c>
      <x:c r="F74" s="73" t="str">
        <x:v>Teleostei</x:v>
      </x:c>
      <x:c r="G74" s="74"/>
      <x:c r="H74" s="74" t="str">
        <x:f>IF(G74="","",G74-B74)</x:f>
      </x:c>
      <x:c r="I74" s="74" t="str">
        <x:f>IF(H74="","",ABS(H74))</x:f>
      </x:c>
      <x:c r="J74" s="75" t="str">
        <x:f>IF(I74="","",I74/B74*100)</x:f>
      </x:c>
      <x:c r="K74" s="74" t="n">
        <x:v>6.5</x:v>
      </x:c>
      <x:c r="L74" s="74" t="n">
        <x:f>IF(K74="","",K74-B74)</x:f>
        <x:v>1.5</x:v>
      </x:c>
      <x:c r="M74" s="74" t="n">
        <x:f>IF(L74="","",ABS(L74))</x:f>
        <x:v>1.5</x:v>
      </x:c>
      <x:c r="N74" s="75" t="n">
        <x:f>IF(M74="","",M74/B74*100)</x:f>
        <x:v>30</x:v>
      </x:c>
      <x:c r="O74" s="74" t="n">
        <x:v>4.98</x:v>
      </x:c>
      <x:c r="P74" s="74" t="n">
        <x:f>IF(O74="","",O74-B74)</x:f>
        <x:v>-0.019999999999999574</x:v>
      </x:c>
      <x:c r="Q74" s="74" t="n">
        <x:f>IF(P74="","",ABS(P74))</x:f>
        <x:v>0.019999999999999574</x:v>
      </x:c>
      <x:c r="R74" s="75" t="n">
        <x:f>IF(Q74="","",Q74/B74*100)</x:f>
        <x:v>0.39999999999999153</x:v>
      </x:c>
      <x:c r="S74" s="74" t="n">
        <x:v>5.64</x:v>
      </x:c>
      <x:c r="T74" s="74" t="n">
        <x:f>IF(S74="","",S74-B74)</x:f>
        <x:v>0.6399999999999997</x:v>
      </x:c>
      <x:c r="U74" s="74" t="n">
        <x:f>IF(T74="","",ABS(T74))</x:f>
        <x:v>0.6399999999999997</x:v>
      </x:c>
      <x:c r="V74" s="75" t="n">
        <x:f>IF(U74="","",U74/B74*100)</x:f>
        <x:v>12.799999999999995</x:v>
      </x:c>
      <x:c r="W74" s="73" t="str">
        <x:f>IF(G74&lt;&gt;"","Genus",IF(K74&lt;&gt;"","Family",IF(O74&lt;&gt;"","Ecological proxy",IF(S74&lt;&gt;"","Broad","No fallback"))))</x:f>
        <x:v>Family</x:v>
      </x:c>
      <x:c r="X74" s="74" t="n">
        <x:f>IF(G74&lt;&gt;"",G74,IF(K74&lt;&gt;"",K74,IF(O74&lt;&gt;"",O74,IF(S74&lt;&gt;"",S74,""))))</x:f>
        <x:v>6.5</x:v>
      </x:c>
      <x:c r="Y74" s="74" t="n">
        <x:f>IF(X74="","",X74-B74)</x:f>
        <x:v>1.5</x:v>
      </x:c>
      <x:c r="Z74" s="74" t="n">
        <x:f>IF(Y74="","",ABS(Y74))</x:f>
        <x:v>1.5</x:v>
      </x:c>
      <x:c r="AA74" s="75" t="n">
        <x:f>IF(Z74="","",Z74/B74*100)</x:f>
        <x:v>30</x:v>
      </x:c>
      <x:c r="AB74" s="73" t="str"/>
    </x:row>
    <x:row r="75" ht="39.599998474121094" hidden="0" customHeight="1">
      <x:c r="A75" s="80" t="str">
        <x:v>Dicologlossa cuneata</x:v>
      </x:c>
      <x:c r="B75" s="74" t="n">
        <x:v>6.5</x:v>
      </x:c>
      <x:c r="C75" s="73" t="str">
        <x:v>Dicologlossa</x:v>
      </x:c>
      <x:c r="D75" s="73" t="str">
        <x:v>Soleidae</x:v>
      </x:c>
      <x:c r="E75" s="73" t="str">
        <x:v>Demersal flatfishes</x:v>
      </x:c>
      <x:c r="F75" s="73" t="str">
        <x:v>Teleostei</x:v>
      </x:c>
      <x:c r="G75" s="74"/>
      <x:c r="H75" s="74" t="str">
        <x:f>IF(G75="","",G75-B75)</x:f>
      </x:c>
      <x:c r="I75" s="74" t="str">
        <x:f>IF(H75="","",ABS(H75))</x:f>
      </x:c>
      <x:c r="J75" s="75" t="str">
        <x:f>IF(I75="","",I75/B75*100)</x:f>
      </x:c>
      <x:c r="K75" s="74" t="n">
        <x:v>5</x:v>
      </x:c>
      <x:c r="L75" s="74" t="n">
        <x:f>IF(K75="","",K75-B75)</x:f>
        <x:v>-1.5</x:v>
      </x:c>
      <x:c r="M75" s="74" t="n">
        <x:f>IF(L75="","",ABS(L75))</x:f>
        <x:v>1.5</x:v>
      </x:c>
      <x:c r="N75" s="75" t="n">
        <x:f>IF(M75="","",M75/B75*100)</x:f>
        <x:v>23.076923076923077</x:v>
      </x:c>
      <x:c r="O75" s="74" t="n">
        <x:v>4.98</x:v>
      </x:c>
      <x:c r="P75" s="74" t="n">
        <x:f>IF(O75="","",O75-B75)</x:f>
        <x:v>-1.5199999999999996</x:v>
      </x:c>
      <x:c r="Q75" s="74" t="n">
        <x:f>IF(P75="","",ABS(P75))</x:f>
        <x:v>1.5199999999999996</x:v>
      </x:c>
      <x:c r="R75" s="75" t="n">
        <x:f>IF(Q75="","",Q75/B75*100)</x:f>
        <x:v>23.38461538461538</x:v>
      </x:c>
      <x:c r="S75" s="74" t="n">
        <x:v>5.6</x:v>
      </x:c>
      <x:c r="T75" s="74" t="n">
        <x:f>IF(S75="","",S75-B75)</x:f>
        <x:v>-0.9000000000000004</x:v>
      </x:c>
      <x:c r="U75" s="74" t="n">
        <x:f>IF(T75="","",ABS(T75))</x:f>
        <x:v>0.9000000000000004</x:v>
      </x:c>
      <x:c r="V75" s="75" t="n">
        <x:f>IF(U75="","",U75/B75*100)</x:f>
        <x:v>13.846153846153852</x:v>
      </x:c>
      <x:c r="W75" s="73" t="str">
        <x:f>IF(G75&lt;&gt;"","Genus",IF(K75&lt;&gt;"","Family",IF(O75&lt;&gt;"","Ecological proxy",IF(S75&lt;&gt;"","Broad","No fallback"))))</x:f>
        <x:v>Family</x:v>
      </x:c>
      <x:c r="X75" s="74" t="n">
        <x:f>IF(G75&lt;&gt;"",G75,IF(K75&lt;&gt;"",K75,IF(O75&lt;&gt;"",O75,IF(S75&lt;&gt;"",S75,""))))</x:f>
        <x:v>5</x:v>
      </x:c>
      <x:c r="Y75" s="74" t="n">
        <x:f>IF(X75="","",X75-B75)</x:f>
        <x:v>-1.5</x:v>
      </x:c>
      <x:c r="Z75" s="74" t="n">
        <x:f>IF(Y75="","",ABS(Y75))</x:f>
        <x:v>1.5</x:v>
      </x:c>
      <x:c r="AA75" s="75" t="n">
        <x:f>IF(Z75="","",Z75/B75*100)</x:f>
        <x:v>23.076923076923077</x:v>
      </x:c>
      <x:c r="AB75" s="73" t="str"/>
    </x:row>
    <x:row r="76" ht="52.79999923706055" hidden="0" customHeight="1">
      <x:c r="A76" s="80" t="str">
        <x:v>Aglaophamus australiensis</x:v>
      </x:c>
      <x:c r="B76" s="74" t="n">
        <x:v>1.06</x:v>
      </x:c>
      <x:c r="C76" s="73" t="str">
        <x:v>Aglaophamus</x:v>
      </x:c>
      <x:c r="D76" s="73" t="str">
        <x:v>Nephtyidae</x:v>
      </x:c>
      <x:c r="E76" s="73" t="str">
        <x:v>Other benthic polychaetes</x:v>
      </x:c>
      <x:c r="F76" s="73" t="str">
        <x:v>Annelida</x:v>
      </x:c>
      <x:c r="G76" s="74"/>
      <x:c r="H76" s="74" t="str">
        <x:f>IF(G76="","",G76-B76)</x:f>
      </x:c>
      <x:c r="I76" s="74" t="str">
        <x:f>IF(H76="","",ABS(H76))</x:f>
      </x:c>
      <x:c r="J76" s="75" t="str">
        <x:f>IF(I76="","",I76/B76*100)</x:f>
      </x:c>
      <x:c r="K76" s="74"/>
      <x:c r="L76" s="74" t="str">
        <x:f>IF(K76="","",K76-B76)</x:f>
      </x:c>
      <x:c r="M76" s="74" t="str">
        <x:f>IF(L76="","",ABS(L76))</x:f>
      </x:c>
      <x:c r="N76" s="75" t="str">
        <x:f>IF(M76="","",M76/B76*100)</x:f>
      </x:c>
      <x:c r="O76" s="74" t="n">
        <x:v>2.045</x:v>
      </x:c>
      <x:c r="P76" s="74" t="n">
        <x:f>IF(O76="","",O76-B76)</x:f>
        <x:v>0.9849999999999999</x:v>
      </x:c>
      <x:c r="Q76" s="74" t="n">
        <x:f>IF(P76="","",ABS(P76))</x:f>
        <x:v>0.9849999999999999</x:v>
      </x:c>
      <x:c r="R76" s="75" t="n">
        <x:f>IF(Q76="","",Q76/B76*100)</x:f>
        <x:v>92.92452830188678</x:v>
      </x:c>
      <x:c r="S76" s="74" t="n">
        <x:v>1.365</x:v>
      </x:c>
      <x:c r="T76" s="74" t="n">
        <x:f>IF(S76="","",S76-B76)</x:f>
        <x:v>0.30499999999999994</x:v>
      </x:c>
      <x:c r="U76" s="74" t="n">
        <x:f>IF(T76="","",ABS(T76))</x:f>
        <x:v>0.30499999999999994</x:v>
      </x:c>
      <x:c r="V76" s="75" t="n">
        <x:f>IF(U76="","",U76/B76*100)</x:f>
        <x:v>28.77358490566037</x:v>
      </x:c>
      <x:c r="W76" s="73" t="str">
        <x:f>IF(G76&lt;&gt;"","Genus",IF(K76&lt;&gt;"","Family",IF(O76&lt;&gt;"","Ecological proxy",IF(S76&lt;&gt;"","Broad","No fallback"))))</x:f>
        <x:v>Ecological proxy</x:v>
      </x:c>
      <x:c r="X76" s="74" t="n">
        <x:f>IF(G76&lt;&gt;"",G76,IF(K76&lt;&gt;"",K76,IF(O76&lt;&gt;"",O76,IF(S76&lt;&gt;"",S76,""))))</x:f>
        <x:v>2.045</x:v>
      </x:c>
      <x:c r="Y76" s="74" t="n">
        <x:f>IF(X76="","",X76-B76)</x:f>
        <x:v>0.9849999999999999</x:v>
      </x:c>
      <x:c r="Z76" s="74" t="n">
        <x:f>IF(Y76="","",ABS(Y76))</x:f>
        <x:v>0.9849999999999999</x:v>
      </x:c>
      <x:c r="AA76" s="75" t="n">
        <x:f>IF(Z76="","",Z76/B76*100)</x:f>
        <x:v>92.92452830188678</x:v>
      </x:c>
      <x:c r="AB76" s="73" t="str"/>
    </x:row>
    <x:row r="77" ht="52.79999923706055" hidden="0" customHeight="1">
      <x:c r="A77" s="80" t="str">
        <x:v>Australonereis ehlersi</x:v>
      </x:c>
      <x:c r="B77" s="74" t="n">
        <x:v>1.28</x:v>
      </x:c>
      <x:c r="C77" s="73" t="str">
        <x:v>Australonereis</x:v>
      </x:c>
      <x:c r="D77" s="73" t="str">
        <x:v>Nereididae</x:v>
      </x:c>
      <x:c r="E77" s="73" t="str">
        <x:v>Other benthic polychaetes</x:v>
      </x:c>
      <x:c r="F77" s="73" t="str">
        <x:v>Annelida</x:v>
      </x:c>
      <x:c r="G77" s="74"/>
      <x:c r="H77" s="74" t="str">
        <x:f>IF(G77="","",G77-B77)</x:f>
      </x:c>
      <x:c r="I77" s="74" t="str">
        <x:f>IF(H77="","",ABS(H77))</x:f>
      </x:c>
      <x:c r="J77" s="75" t="str">
        <x:f>IF(I77="","",I77/B77*100)</x:f>
      </x:c>
      <x:c r="K77" s="74" t="n">
        <x:v>1.05</x:v>
      </x:c>
      <x:c r="L77" s="74" t="n">
        <x:f>IF(K77="","",K77-B77)</x:f>
        <x:v>-0.22999999999999998</x:v>
      </x:c>
      <x:c r="M77" s="74" t="n">
        <x:f>IF(L77="","",ABS(L77))</x:f>
        <x:v>0.22999999999999998</x:v>
      </x:c>
      <x:c r="N77" s="75" t="n">
        <x:f>IF(M77="","",M77/B77*100)</x:f>
        <x:v>17.968749999999996</x:v>
      </x:c>
      <x:c r="O77" s="74" t="n">
        <x:v>2.045</x:v>
      </x:c>
      <x:c r="P77" s="74" t="n">
        <x:f>IF(O77="","",O77-B77)</x:f>
        <x:v>0.7649999999999999</x:v>
      </x:c>
      <x:c r="Q77" s="74" t="n">
        <x:f>IF(P77="","",ABS(P77))</x:f>
        <x:v>0.7649999999999999</x:v>
      </x:c>
      <x:c r="R77" s="75" t="n">
        <x:f>IF(Q77="","",Q77/B77*100)</x:f>
        <x:v>59.765624999999986</x:v>
      </x:c>
      <x:c r="S77" s="74" t="n">
        <x:v>1.335</x:v>
      </x:c>
      <x:c r="T77" s="74" t="n">
        <x:f>IF(S77="","",S77-B77)</x:f>
        <x:v>0.05499999999999994</x:v>
      </x:c>
      <x:c r="U77" s="74" t="n">
        <x:f>IF(T77="","",ABS(T77))</x:f>
        <x:v>0.05499999999999994</x:v>
      </x:c>
      <x:c r="V77" s="75" t="n">
        <x:f>IF(U77="","",U77/B77*100)</x:f>
        <x:v>4.296874999999996</x:v>
      </x:c>
      <x:c r="W77" s="73" t="str">
        <x:f>IF(G77&lt;&gt;"","Genus",IF(K77&lt;&gt;"","Family",IF(O77&lt;&gt;"","Ecological proxy",IF(S77&lt;&gt;"","Broad","No fallback"))))</x:f>
        <x:v>Family</x:v>
      </x:c>
      <x:c r="X77" s="74" t="n">
        <x:f>IF(G77&lt;&gt;"",G77,IF(K77&lt;&gt;"",K77,IF(O77&lt;&gt;"",O77,IF(S77&lt;&gt;"",S77,""))))</x:f>
        <x:v>1.05</x:v>
      </x:c>
      <x:c r="Y77" s="74" t="n">
        <x:f>IF(X77="","",X77-B77)</x:f>
        <x:v>-0.22999999999999998</x:v>
      </x:c>
      <x:c r="Z77" s="74" t="n">
        <x:f>IF(Y77="","",ABS(Y77))</x:f>
        <x:v>0.22999999999999998</x:v>
      </x:c>
      <x:c r="AA77" s="75" t="n">
        <x:f>IF(Z77="","",Z77/B77*100)</x:f>
        <x:v>17.968749999999996</x:v>
      </x:c>
      <x:c r="AB77" s="73" t="str"/>
    </x:row>
    <x:row r="78" ht="52.79999923706055" hidden="0" customHeight="1">
      <x:c r="A78" s="80" t="str">
        <x:v>Phyllodoce novaehollandiae</x:v>
      </x:c>
      <x:c r="B78" s="74" t="n">
        <x:v>0.96</x:v>
      </x:c>
      <x:c r="C78" s="73" t="str">
        <x:v>Phyllodoce</x:v>
      </x:c>
      <x:c r="D78" s="73" t="str">
        <x:v>Phyllodocidae</x:v>
      </x:c>
      <x:c r="E78" s="73" t="str">
        <x:v>Other benthic polychaetes</x:v>
      </x:c>
      <x:c r="F78" s="73" t="str">
        <x:v>Annelida</x:v>
      </x:c>
      <x:c r="G78" s="74"/>
      <x:c r="H78" s="74" t="str">
        <x:f>IF(G78="","",G78-B78)</x:f>
      </x:c>
      <x:c r="I78" s="74" t="str">
        <x:f>IF(H78="","",ABS(H78))</x:f>
      </x:c>
      <x:c r="J78" s="75" t="str">
        <x:f>IF(I78="","",I78/B78*100)</x:f>
      </x:c>
      <x:c r="K78" s="74"/>
      <x:c r="L78" s="74" t="str">
        <x:f>IF(K78="","",K78-B78)</x:f>
      </x:c>
      <x:c r="M78" s="74" t="str">
        <x:f>IF(L78="","",ABS(L78))</x:f>
      </x:c>
      <x:c r="N78" s="75" t="str">
        <x:f>IF(M78="","",M78/B78*100)</x:f>
      </x:c>
      <x:c r="O78" s="74" t="n">
        <x:v>2.045</x:v>
      </x:c>
      <x:c r="P78" s="74" t="n">
        <x:f>IF(O78="","",O78-B78)</x:f>
        <x:v>1.085</x:v>
      </x:c>
      <x:c r="Q78" s="74" t="n">
        <x:f>IF(P78="","",ABS(P78))</x:f>
        <x:v>1.085</x:v>
      </x:c>
      <x:c r="R78" s="75" t="n">
        <x:f>IF(Q78="","",Q78/B78*100)</x:f>
        <x:v>113.02083333333333</x:v>
      </x:c>
      <x:c r="S78" s="74" t="n">
        <x:v>1.365</x:v>
      </x:c>
      <x:c r="T78" s="74" t="n">
        <x:f>IF(S78="","",S78-B78)</x:f>
        <x:v>0.405</x:v>
      </x:c>
      <x:c r="U78" s="74" t="n">
        <x:f>IF(T78="","",ABS(T78))</x:f>
        <x:v>0.405</x:v>
      </x:c>
      <x:c r="V78" s="75" t="n">
        <x:f>IF(U78="","",U78/B78*100)</x:f>
        <x:v>42.18750000000001</x:v>
      </x:c>
      <x:c r="W78" s="73" t="str">
        <x:f>IF(G78&lt;&gt;"","Genus",IF(K78&lt;&gt;"","Family",IF(O78&lt;&gt;"","Ecological proxy",IF(S78&lt;&gt;"","Broad","No fallback"))))</x:f>
        <x:v>Ecological proxy</x:v>
      </x:c>
      <x:c r="X78" s="74" t="n">
        <x:f>IF(G78&lt;&gt;"",G78,IF(K78&lt;&gt;"",K78,IF(O78&lt;&gt;"",O78,IF(S78&lt;&gt;"",S78,""))))</x:f>
        <x:v>2.045</x:v>
      </x:c>
      <x:c r="Y78" s="74" t="n">
        <x:f>IF(X78="","",X78-B78)</x:f>
        <x:v>1.085</x:v>
      </x:c>
      <x:c r="Z78" s="74" t="n">
        <x:f>IF(Y78="","",ABS(Y78))</x:f>
        <x:v>1.085</x:v>
      </x:c>
      <x:c r="AA78" s="75" t="n">
        <x:f>IF(Z78="","",Z78/B78*100)</x:f>
        <x:v>113.02083333333333</x:v>
      </x:c>
      <x:c r="AB78" s="73" t="str"/>
    </x:row>
    <x:row r="79" ht="52.79999923706055" hidden="0" customHeight="1">
      <x:c r="A79" s="80" t="str">
        <x:v>Simplisetia aequisetis</x:v>
      </x:c>
      <x:c r="B79" s="74" t="n">
        <x:v>1.05</x:v>
      </x:c>
      <x:c r="C79" s="73" t="str">
        <x:v>Simplisetia</x:v>
      </x:c>
      <x:c r="D79" s="73" t="str">
        <x:v>Nereididae</x:v>
      </x:c>
      <x:c r="E79" s="73" t="str">
        <x:v>Other benthic polychaetes</x:v>
      </x:c>
      <x:c r="F79" s="73" t="str">
        <x:v>Annelida</x:v>
      </x:c>
      <x:c r="G79" s="74"/>
      <x:c r="H79" s="74" t="str">
        <x:f>IF(G79="","",G79-B79)</x:f>
      </x:c>
      <x:c r="I79" s="74" t="str">
        <x:f>IF(H79="","",ABS(H79))</x:f>
      </x:c>
      <x:c r="J79" s="75" t="str">
        <x:f>IF(I79="","",I79/B79*100)</x:f>
      </x:c>
      <x:c r="K79" s="74" t="n">
        <x:v>1.28</x:v>
      </x:c>
      <x:c r="L79" s="74" t="n">
        <x:f>IF(K79="","",K79-B79)</x:f>
        <x:v>0.22999999999999998</x:v>
      </x:c>
      <x:c r="M79" s="74" t="n">
        <x:f>IF(L79="","",ABS(L79))</x:f>
        <x:v>0.22999999999999998</x:v>
      </x:c>
      <x:c r="N79" s="75" t="n">
        <x:f>IF(M79="","",M79/B79*100)</x:f>
        <x:v>21.9047619047619</x:v>
      </x:c>
      <x:c r="O79" s="74" t="n">
        <x:v>2.045</x:v>
      </x:c>
      <x:c r="P79" s="74" t="n">
        <x:f>IF(O79="","",O79-B79)</x:f>
        <x:v>0.9949999999999999</x:v>
      </x:c>
      <x:c r="Q79" s="74" t="n">
        <x:f>IF(P79="","",ABS(P79))</x:f>
        <x:v>0.9949999999999999</x:v>
      </x:c>
      <x:c r="R79" s="75" t="n">
        <x:f>IF(Q79="","",Q79/B79*100)</x:f>
        <x:v>94.76190476190474</x:v>
      </x:c>
      <x:c r="S79" s="74" t="n">
        <x:v>1.365</x:v>
      </x:c>
      <x:c r="T79" s="74" t="n">
        <x:f>IF(S79="","",S79-B79)</x:f>
        <x:v>0.31499999999999995</x:v>
      </x:c>
      <x:c r="U79" s="74" t="n">
        <x:f>IF(T79="","",ABS(T79))</x:f>
        <x:v>0.31499999999999995</x:v>
      </x:c>
      <x:c r="V79" s="75" t="n">
        <x:f>IF(U79="","",U79/B79*100)</x:f>
        <x:v>29.999999999999993</x:v>
      </x:c>
      <x:c r="W79" s="73" t="str">
        <x:f>IF(G79&lt;&gt;"","Genus",IF(K79&lt;&gt;"","Family",IF(O79&lt;&gt;"","Ecological proxy",IF(S79&lt;&gt;"","Broad","No fallback"))))</x:f>
        <x:v>Family</x:v>
      </x:c>
      <x:c r="X79" s="74" t="n">
        <x:f>IF(G79&lt;&gt;"",G79,IF(K79&lt;&gt;"",K79,IF(O79&lt;&gt;"",O79,IF(S79&lt;&gt;"",S79,""))))</x:f>
        <x:v>1.28</x:v>
      </x:c>
      <x:c r="Y79" s="74" t="n">
        <x:f>IF(X79="","",X79-B79)</x:f>
        <x:v>0.22999999999999998</x:v>
      </x:c>
      <x:c r="Z79" s="74" t="n">
        <x:f>IF(Y79="","",ABS(Y79))</x:f>
        <x:v>0.22999999999999998</x:v>
      </x:c>
      <x:c r="AA79" s="75" t="n">
        <x:f>IF(Z79="","",Z79/B79*100)</x:f>
        <x:v>21.9047619047619</x:v>
      </x:c>
      <x:c r="AB79" s="73" t="str"/>
    </x:row>
    <x:row r="80" ht="52.79999923706055" hidden="0" customHeight="1">
      <x:c r="A80" s="80" t="str">
        <x:v>Ficopomatus enigmaticus</x:v>
      </x:c>
      <x:c r="B80" s="74" t="n">
        <x:v>1.45</x:v>
      </x:c>
      <x:c r="C80" s="73" t="str">
        <x:v>Ficopomatus</x:v>
      </x:c>
      <x:c r="D80" s="73" t="str">
        <x:v>Serpulidae</x:v>
      </x:c>
      <x:c r="E80" s="73" t="str">
        <x:v>Tube-dwelling polychaetes</x:v>
      </x:c>
      <x:c r="F80" s="73" t="str">
        <x:v>Annelida</x:v>
      </x:c>
      <x:c r="G80" s="74"/>
      <x:c r="H80" s="74" t="str">
        <x:f>IF(G80="","",G80-B80)</x:f>
      </x:c>
      <x:c r="I80" s="74" t="str">
        <x:f>IF(H80="","",ABS(H80))</x:f>
      </x:c>
      <x:c r="J80" s="75" t="str">
        <x:f>IF(I80="","",I80/B80*100)</x:f>
      </x:c>
      <x:c r="K80" s="74"/>
      <x:c r="L80" s="74" t="str">
        <x:f>IF(K80="","",K80-B80)</x:f>
      </x:c>
      <x:c r="M80" s="74" t="str">
        <x:f>IF(L80="","",ABS(L80))</x:f>
      </x:c>
      <x:c r="N80" s="75" t="str">
        <x:f>IF(M80="","",M80/B80*100)</x:f>
      </x:c>
      <x:c r="O80" s="74"/>
      <x:c r="P80" s="74" t="str">
        <x:f>IF(O80="","",O80-B80)</x:f>
      </x:c>
      <x:c r="Q80" s="74" t="str">
        <x:f>IF(P80="","",ABS(P80))</x:f>
      </x:c>
      <x:c r="R80" s="75" t="str">
        <x:f>IF(Q80="","",Q80/B80*100)</x:f>
      </x:c>
      <x:c r="S80" s="74" t="n">
        <x:v>1.25</x:v>
      </x:c>
      <x:c r="T80" s="74" t="n">
        <x:f>IF(S80="","",S80-B80)</x:f>
        <x:v>-0.19999999999999996</x:v>
      </x:c>
      <x:c r="U80" s="74" t="n">
        <x:f>IF(T80="","",ABS(T80))</x:f>
        <x:v>0.19999999999999996</x:v>
      </x:c>
      <x:c r="V80" s="75" t="n">
        <x:f>IF(U80="","",U80/B80*100)</x:f>
        <x:v>13.79310344827586</x:v>
      </x:c>
      <x:c r="W80" s="73" t="str">
        <x:f>IF(G80&lt;&gt;"","Genus",IF(K80&lt;&gt;"","Family",IF(O80&lt;&gt;"","Ecological proxy",IF(S80&lt;&gt;"","Broad","No fallback"))))</x:f>
        <x:v>Broad</x:v>
      </x:c>
      <x:c r="X80" s="74" t="n">
        <x:f>IF(G80&lt;&gt;"",G80,IF(K80&lt;&gt;"",K80,IF(O80&lt;&gt;"",O80,IF(S80&lt;&gt;"",S80,""))))</x:f>
        <x:v>1.25</x:v>
      </x:c>
      <x:c r="Y80" s="74" t="n">
        <x:f>IF(X80="","",X80-B80)</x:f>
        <x:v>-0.19999999999999996</x:v>
      </x:c>
      <x:c r="Z80" s="74" t="n">
        <x:f>IF(Y80="","",ABS(Y80))</x:f>
        <x:v>0.19999999999999996</x:v>
      </x:c>
      <x:c r="AA80" s="75" t="n">
        <x:f>IF(Z80="","",Z80/B80*100)</x:f>
        <x:v>13.79310344827586</x:v>
      </x:c>
      <x:c r="AB80" s="73" t="str"/>
    </x:row>
    <x:row r="81" ht="39.599998474121094" hidden="0" customHeight="1">
      <x:c r="A81" s="80" t="str">
        <x:v>Hiatula alba</x:v>
      </x:c>
      <x:c r="B81" s="74" t="n">
        <x:v>1.76</x:v>
      </x:c>
      <x:c r="C81" s="73" t="str">
        <x:v>Hiatula</x:v>
      </x:c>
      <x:c r="D81" s="73"/>
      <x:c r="E81" s="73" t="str">
        <x:v>Subtidal benthic molluscs</x:v>
      </x:c>
      <x:c r="F81" s="73" t="str">
        <x:v>Mollusca (non-cephalopods)</x:v>
      </x:c>
      <x:c r="G81" s="74"/>
      <x:c r="H81" s="74" t="str">
        <x:f>IF(G81="","",G81-B81)</x:f>
      </x:c>
      <x:c r="I81" s="74" t="str">
        <x:f>IF(H81="","",ABS(H81))</x:f>
      </x:c>
      <x:c r="J81" s="75" t="str">
        <x:f>IF(I81="","",I81/B81*100)</x:f>
      </x:c>
      <x:c r="K81" s="74"/>
      <x:c r="L81" s="74" t="str">
        <x:f>IF(K81="","",K81-B81)</x:f>
      </x:c>
      <x:c r="M81" s="74" t="str">
        <x:f>IF(L81="","",ABS(L81))</x:f>
      </x:c>
      <x:c r="N81" s="75" t="str">
        <x:f>IF(M81="","",M81/B81*100)</x:f>
      </x:c>
      <x:c r="O81" s="74" t="n">
        <x:v>1.98</x:v>
      </x:c>
      <x:c r="P81" s="74" t="n">
        <x:f>IF(O81="","",O81-B81)</x:f>
        <x:v>0.21999999999999997</x:v>
      </x:c>
      <x:c r="Q81" s="74" t="n">
        <x:f>IF(P81="","",ABS(P81))</x:f>
        <x:v>0.21999999999999997</x:v>
      </x:c>
      <x:c r="R81" s="75" t="n">
        <x:f>IF(Q81="","",Q81/B81*100)</x:f>
        <x:v>12.499999999999998</x:v>
      </x:c>
      <x:c r="S81" s="74" t="n">
        <x:v>2.15</x:v>
      </x:c>
      <x:c r="T81" s="74" t="n">
        <x:f>IF(S81="","",S81-B81)</x:f>
        <x:v>0.3899999999999999</x:v>
      </x:c>
      <x:c r="U81" s="74" t="n">
        <x:f>IF(T81="","",ABS(T81))</x:f>
        <x:v>0.3899999999999999</x:v>
      </x:c>
      <x:c r="V81" s="75" t="n">
        <x:f>IF(U81="","",U81/B81*100)</x:f>
        <x:v>22.159090909090903</x:v>
      </x:c>
      <x:c r="W81" s="73" t="str">
        <x:f>IF(G81&lt;&gt;"","Genus",IF(K81&lt;&gt;"","Family",IF(O81&lt;&gt;"","Ecological proxy",IF(S81&lt;&gt;"","Broad","No fallback"))))</x:f>
        <x:v>Ecological proxy</x:v>
      </x:c>
      <x:c r="X81" s="74" t="n">
        <x:f>IF(G81&lt;&gt;"",G81,IF(K81&lt;&gt;"",K81,IF(O81&lt;&gt;"",O81,IF(S81&lt;&gt;"",S81,""))))</x:f>
        <x:v>1.98</x:v>
      </x:c>
      <x:c r="Y81" s="74" t="n">
        <x:f>IF(X81="","",X81-B81)</x:f>
        <x:v>0.21999999999999997</x:v>
      </x:c>
      <x:c r="Z81" s="74" t="n">
        <x:f>IF(Y81="","",ABS(Y81))</x:f>
        <x:v>0.21999999999999997</x:v>
      </x:c>
      <x:c r="AA81" s="75" t="n">
        <x:f>IF(Z81="","",Z81/B81*100)</x:f>
        <x:v>12.499999999999998</x:v>
      </x:c>
      <x:c r="AB81" s="73" t="str"/>
    </x:row>
    <x:row r="82" ht="39.599998474121094" hidden="0" customHeight="1">
      <x:c r="A82" s="80" t="str">
        <x:v>Spisula trigonella</x:v>
      </x:c>
      <x:c r="B82" s="74" t="n">
        <x:v>2.15</x:v>
      </x:c>
      <x:c r="C82" s="73" t="str">
        <x:v>Spisula</x:v>
      </x:c>
      <x:c r="D82" s="73" t="str">
        <x:v>Mactridae</x:v>
      </x:c>
      <x:c r="E82" s="73" t="str">
        <x:v>Benthic bivalves</x:v>
      </x:c>
      <x:c r="F82" s="73" t="str">
        <x:v>Mollusca (non-cephalopods)</x:v>
      </x:c>
      <x:c r="G82" s="74"/>
      <x:c r="H82" s="74" t="str">
        <x:f>IF(G82="","",G82-B82)</x:f>
      </x:c>
      <x:c r="I82" s="74" t="str">
        <x:f>IF(H82="","",ABS(H82))</x:f>
      </x:c>
      <x:c r="J82" s="75" t="str">
        <x:f>IF(I82="","",I82/B82*100)</x:f>
      </x:c>
      <x:c r="K82" s="74"/>
      <x:c r="L82" s="74" t="str">
        <x:f>IF(K82="","",K82-B82)</x:f>
      </x:c>
      <x:c r="M82" s="74" t="str">
        <x:f>IF(L82="","",ABS(L82))</x:f>
      </x:c>
      <x:c r="N82" s="75" t="str">
        <x:f>IF(M82="","",M82/B82*100)</x:f>
      </x:c>
      <x:c r="O82" s="74" t="n">
        <x:v>2.13</x:v>
      </x:c>
      <x:c r="P82" s="74" t="n">
        <x:f>IF(O82="","",O82-B82)</x:f>
        <x:v>-0.020000000000000018</x:v>
      </x:c>
      <x:c r="Q82" s="74" t="n">
        <x:f>IF(P82="","",ABS(P82))</x:f>
        <x:v>0.020000000000000018</x:v>
      </x:c>
      <x:c r="R82" s="75" t="n">
        <x:f>IF(Q82="","",Q82/B82*100)</x:f>
        <x:v>0.9302325581395358</x:v>
      </x:c>
      <x:c r="S82" s="74" t="n">
        <x:v>2.13</x:v>
      </x:c>
      <x:c r="T82" s="74" t="n">
        <x:f>IF(S82="","",S82-B82)</x:f>
        <x:v>-0.020000000000000018</x:v>
      </x:c>
      <x:c r="U82" s="74" t="n">
        <x:f>IF(T82="","",ABS(T82))</x:f>
        <x:v>0.020000000000000018</x:v>
      </x:c>
      <x:c r="V82" s="75" t="n">
        <x:f>IF(U82="","",U82/B82*100)</x:f>
        <x:v>0.9302325581395358</x:v>
      </x:c>
      <x:c r="W82" s="73" t="str">
        <x:f>IF(G82&lt;&gt;"","Genus",IF(K82&lt;&gt;"","Family",IF(O82&lt;&gt;"","Ecological proxy",IF(S82&lt;&gt;"","Broad","No fallback"))))</x:f>
        <x:v>Ecological proxy</x:v>
      </x:c>
      <x:c r="X82" s="74" t="n">
        <x:f>IF(G82&lt;&gt;"",G82,IF(K82&lt;&gt;"",K82,IF(O82&lt;&gt;"",O82,IF(S82&lt;&gt;"",S82,""))))</x:f>
        <x:v>2.13</x:v>
      </x:c>
      <x:c r="Y82" s="74" t="n">
        <x:f>IF(X82="","",X82-B82)</x:f>
        <x:v>-0.020000000000000018</x:v>
      </x:c>
      <x:c r="Z82" s="74" t="n">
        <x:f>IF(Y82="","",ABS(Y82))</x:f>
        <x:v>0.020000000000000018</x:v>
      </x:c>
      <x:c r="AA82" s="75" t="n">
        <x:f>IF(Z82="","",Z82/B82*100)</x:f>
        <x:v>0.9302325581395358</x:v>
      </x:c>
      <x:c r="AB82" s="73" t="str"/>
    </x:row>
    <x:row r="83" ht="26.399999618530273" hidden="0" customHeight="1">
      <x:c r="A83" s="80" t="str">
        <x:v>Amarinus laevis</x:v>
      </x:c>
      <x:c r="B83" s="74" t="n">
        <x:v>2.13</x:v>
      </x:c>
      <x:c r="C83" s="73" t="str">
        <x:v>Amarinus</x:v>
      </x:c>
      <x:c r="D83" s="73" t="str">
        <x:v>Hymenosomatidae</x:v>
      </x:c>
      <x:c r="E83" s="73" t="str">
        <x:v>Benthic decapods</x:v>
      </x:c>
      <x:c r="F83" s="73" t="str">
        <x:v>Crustacea</x:v>
      </x:c>
      <x:c r="G83" s="74"/>
      <x:c r="H83" s="74" t="str">
        <x:f>IF(G83="","",G83-B83)</x:f>
      </x:c>
      <x:c r="I83" s="74" t="str">
        <x:f>IF(H83="","",ABS(H83))</x:f>
      </x:c>
      <x:c r="J83" s="75" t="str">
        <x:f>IF(I83="","",I83/B83*100)</x:f>
      </x:c>
      <x:c r="K83" s="74"/>
      <x:c r="L83" s="74" t="str">
        <x:f>IF(K83="","",K83-B83)</x:f>
      </x:c>
      <x:c r="M83" s="74" t="str">
        <x:f>IF(L83="","",ABS(L83))</x:f>
      </x:c>
      <x:c r="N83" s="75" t="str">
        <x:f>IF(M83="","",M83/B83*100)</x:f>
      </x:c>
      <x:c r="O83" s="74" t="n">
        <x:v>3.07</x:v>
      </x:c>
      <x:c r="P83" s="74" t="n">
        <x:f>IF(O83="","",O83-B83)</x:f>
        <x:v>0.94</x:v>
      </x:c>
      <x:c r="Q83" s="74" t="n">
        <x:f>IF(P83="","",ABS(P83))</x:f>
        <x:v>0.94</x:v>
      </x:c>
      <x:c r="R83" s="75" t="n">
        <x:f>IF(Q83="","",Q83/B83*100)</x:f>
        <x:v>44.13145539906103</x:v>
      </x:c>
      <x:c r="S83" s="74" t="n">
        <x:v>4</x:v>
      </x:c>
      <x:c r="T83" s="74" t="n">
        <x:f>IF(S83="","",S83-B83)</x:f>
        <x:v>1.87</x:v>
      </x:c>
      <x:c r="U83" s="74" t="n">
        <x:f>IF(T83="","",ABS(T83))</x:f>
        <x:v>1.87</x:v>
      </x:c>
      <x:c r="V83" s="75" t="n">
        <x:f>IF(U83="","",U83/B83*100)</x:f>
        <x:v>87.79342723004696</x:v>
      </x:c>
      <x:c r="W83" s="73" t="str">
        <x:f>IF(G83&lt;&gt;"","Genus",IF(K83&lt;&gt;"","Family",IF(O83&lt;&gt;"","Ecological proxy",IF(S83&lt;&gt;"","Broad","No fallback"))))</x:f>
        <x:v>Ecological proxy</x:v>
      </x:c>
      <x:c r="X83" s="74" t="n">
        <x:f>IF(G83&lt;&gt;"",G83,IF(K83&lt;&gt;"",K83,IF(O83&lt;&gt;"",O83,IF(S83&lt;&gt;"",S83,""))))</x:f>
        <x:v>3.07</x:v>
      </x:c>
      <x:c r="Y83" s="74" t="n">
        <x:f>IF(X83="","",X83-B83)</x:f>
        <x:v>0.94</x:v>
      </x:c>
      <x:c r="Z83" s="74" t="n">
        <x:f>IF(Y83="","",ABS(Y83))</x:f>
        <x:v>0.94</x:v>
      </x:c>
      <x:c r="AA83" s="75" t="n">
        <x:f>IF(Z83="","",Z83/B83*100)</x:f>
        <x:v>44.13145539906103</x:v>
      </x:c>
      <x:c r="AB83" s="73" t="str"/>
    </x:row>
    <x:row r="84" ht="39.599998474121094" hidden="0" customHeight="1">
      <x:c r="A84" s="80" t="str">
        <x:v>Paragrapsus gaimardii</x:v>
      </x:c>
      <x:c r="B84" s="74" t="n">
        <x:v>3.64</x:v>
      </x:c>
      <x:c r="C84" s="73" t="str">
        <x:v>Paragrapsus</x:v>
      </x:c>
      <x:c r="D84" s="73" t="str">
        <x:v>Varunidae</x:v>
      </x:c>
      <x:c r="E84" s="73" t="str">
        <x:v>Benthic decapods</x:v>
      </x:c>
      <x:c r="F84" s="73" t="str">
        <x:v>Crustacea</x:v>
      </x:c>
      <x:c r="G84" s="74"/>
      <x:c r="H84" s="74" t="str">
        <x:f>IF(G84="","",G84-B84)</x:f>
      </x:c>
      <x:c r="I84" s="74" t="str">
        <x:f>IF(H84="","",ABS(H84))</x:f>
      </x:c>
      <x:c r="J84" s="75" t="str">
        <x:f>IF(I84="","",I84/B84*100)</x:f>
      </x:c>
      <x:c r="K84" s="74"/>
      <x:c r="L84" s="74" t="str">
        <x:f>IF(K84="","",K84-B84)</x:f>
      </x:c>
      <x:c r="M84" s="74" t="str">
        <x:f>IF(L84="","",ABS(L84))</x:f>
      </x:c>
      <x:c r="N84" s="75" t="str">
        <x:f>IF(M84="","",M84/B84*100)</x:f>
      </x:c>
      <x:c r="O84" s="74" t="n">
        <x:v>3.07</x:v>
      </x:c>
      <x:c r="P84" s="74" t="n">
        <x:f>IF(O84="","",O84-B84)</x:f>
        <x:v>-0.5700000000000003</x:v>
      </x:c>
      <x:c r="Q84" s="74" t="n">
        <x:f>IF(P84="","",ABS(P84))</x:f>
        <x:v>0.5700000000000003</x:v>
      </x:c>
      <x:c r="R84" s="75" t="n">
        <x:f>IF(Q84="","",Q84/B84*100)</x:f>
        <x:v>15.659340659340668</x:v>
      </x:c>
      <x:c r="S84" s="74" t="n">
        <x:v>4</x:v>
      </x:c>
      <x:c r="T84" s="74" t="n">
        <x:f>IF(S84="","",S84-B84)</x:f>
        <x:v>0.3599999999999999</x:v>
      </x:c>
      <x:c r="U84" s="74" t="n">
        <x:f>IF(T84="","",ABS(T84))</x:f>
        <x:v>0.3599999999999999</x:v>
      </x:c>
      <x:c r="V84" s="75" t="n">
        <x:f>IF(U84="","",U84/B84*100)</x:f>
        <x:v>9.890109890109887</x:v>
      </x:c>
      <x:c r="W84" s="73" t="str">
        <x:f>IF(G84&lt;&gt;"","Genus",IF(K84&lt;&gt;"","Family",IF(O84&lt;&gt;"","Ecological proxy",IF(S84&lt;&gt;"","Broad","No fallback"))))</x:f>
        <x:v>Ecological proxy</x:v>
      </x:c>
      <x:c r="X84" s="74" t="n">
        <x:f>IF(G84&lt;&gt;"",G84,IF(K84&lt;&gt;"",K84,IF(O84&lt;&gt;"",O84,IF(S84&lt;&gt;"",S84,""))))</x:f>
        <x:v>3.07</x:v>
      </x:c>
      <x:c r="Y84" s="74" t="n">
        <x:f>IF(X84="","",X84-B84)</x:f>
        <x:v>-0.5700000000000003</x:v>
      </x:c>
      <x:c r="Z84" s="74" t="n">
        <x:f>IF(Y84="","",ABS(Y84))</x:f>
        <x:v>0.5700000000000003</x:v>
      </x:c>
      <x:c r="AA84" s="75" t="n">
        <x:f>IF(Z84="","",Z84/B84*100)</x:f>
        <x:v>15.659340659340668</x:v>
      </x:c>
      <x:c r="AB84" s="73" t="str"/>
    </x:row>
    <x:row r="85" ht="52.79999923706055" hidden="0" customHeight="1">
      <x:c r="A85" s="80" t="str">
        <x:v>Hyporhamphus regularis</x:v>
      </x:c>
      <x:c r="B85" s="74" t="n">
        <x:v>5.83</x:v>
      </x:c>
      <x:c r="C85" s="73" t="str">
        <x:v>Hyporhamphus</x:v>
      </x:c>
      <x:c r="D85" s="73" t="str">
        <x:v>Hemiramphidae</x:v>
      </x:c>
      <x:c r="E85" s="73" t="str">
        <x:v>Coastal surface-dwelling fishes</x:v>
      </x:c>
      <x:c r="F85" s="73" t="str">
        <x:v>Teleostei</x:v>
      </x:c>
      <x:c r="G85" s="74"/>
      <x:c r="H85" s="74" t="str">
        <x:f>IF(G85="","",G85-B85)</x:f>
      </x:c>
      <x:c r="I85" s="74" t="str">
        <x:f>IF(H85="","",ABS(H85))</x:f>
      </x:c>
      <x:c r="J85" s="75" t="str">
        <x:f>IF(I85="","",I85/B85*100)</x:f>
      </x:c>
      <x:c r="K85" s="74"/>
      <x:c r="L85" s="74" t="str">
        <x:f>IF(K85="","",K85-B85)</x:f>
      </x:c>
      <x:c r="M85" s="74" t="str">
        <x:f>IF(L85="","",ABS(L85))</x:f>
      </x:c>
      <x:c r="N85" s="75" t="str">
        <x:f>IF(M85="","",M85/B85*100)</x:f>
      </x:c>
      <x:c r="O85" s="74" t="n">
        <x:v>5.85</x:v>
      </x:c>
      <x:c r="P85" s="74" t="n">
        <x:f>IF(O85="","",O85-B85)</x:f>
        <x:v>0.019999999999999574</x:v>
      </x:c>
      <x:c r="Q85" s="74" t="n">
        <x:f>IF(P85="","",ABS(P85))</x:f>
        <x:v>0.019999999999999574</x:v>
      </x:c>
      <x:c r="R85" s="75" t="n">
        <x:f>IF(Q85="","",Q85/B85*100)</x:f>
        <x:v>0.34305317324184514</x:v>
      </x:c>
      <x:c r="S85" s="74" t="n">
        <x:v>5.6</x:v>
      </x:c>
      <x:c r="T85" s="74" t="n">
        <x:f>IF(S85="","",S85-B85)</x:f>
        <x:v>-0.23000000000000043</x:v>
      </x:c>
      <x:c r="U85" s="74" t="n">
        <x:f>IF(T85="","",ABS(T85))</x:f>
        <x:v>0.23000000000000043</x:v>
      </x:c>
      <x:c r="V85" s="75" t="n">
        <x:f>IF(U85="","",U85/B85*100)</x:f>
        <x:v>3.9451114922813106</x:v>
      </x:c>
      <x:c r="W85" s="73" t="str">
        <x:f>IF(G85&lt;&gt;"","Genus",IF(K85&lt;&gt;"","Family",IF(O85&lt;&gt;"","Ecological proxy",IF(S85&lt;&gt;"","Broad","No fallback"))))</x:f>
        <x:v>Ecological proxy</x:v>
      </x:c>
      <x:c r="X85" s="74" t="n">
        <x:f>IF(G85&lt;&gt;"",G85,IF(K85&lt;&gt;"",K85,IF(O85&lt;&gt;"",O85,IF(S85&lt;&gt;"",S85,""))))</x:f>
        <x:v>5.85</x:v>
      </x:c>
      <x:c r="Y85" s="74" t="n">
        <x:f>IF(X85="","",X85-B85)</x:f>
        <x:v>0.019999999999999574</x:v>
      </x:c>
      <x:c r="Z85" s="74" t="n">
        <x:f>IF(Y85="","",ABS(Y85))</x:f>
        <x:v>0.019999999999999574</x:v>
      </x:c>
      <x:c r="AA85" s="75" t="n">
        <x:f>IF(Z85="","",Z85/B85*100)</x:f>
        <x:v>0.34305317324184514</x:v>
      </x:c>
      <x:c r="AB85" s="73" t="str"/>
    </x:row>
    <x:row r="86" ht="52.79999923706055" hidden="0" customHeight="1">
      <x:c r="A86" s="80" t="str">
        <x:v>Hyperlophus vittatus</x:v>
      </x:c>
      <x:c r="B86" s="74" t="n">
        <x:v>4.4399999999999995</x:v>
      </x:c>
      <x:c r="C86" s="73" t="str">
        <x:v>Hyperlophus</x:v>
      </x:c>
      <x:c r="D86" s="73" t="str">
        <x:v>Clupeidae</x:v>
      </x:c>
      <x:c r="E86" s="73" t="str">
        <x:v>Small pelagic forage fishes</x:v>
      </x:c>
      <x:c r="F86" s="73" t="str">
        <x:v>Teleostei</x:v>
      </x:c>
      <x:c r="G86" s="74"/>
      <x:c r="H86" s="74" t="str">
        <x:f>IF(G86="","",G86-B86)</x:f>
      </x:c>
      <x:c r="I86" s="74" t="str">
        <x:f>IF(H86="","",ABS(H86))</x:f>
      </x:c>
      <x:c r="J86" s="75" t="str">
        <x:f>IF(I86="","",I86/B86*100)</x:f>
      </x:c>
      <x:c r="K86" s="74" t="n">
        <x:v>6.995</x:v>
      </x:c>
      <x:c r="L86" s="74" t="n">
        <x:f>IF(K86="","",K86-B86)</x:f>
        <x:v>2.5550000000000006</x:v>
      </x:c>
      <x:c r="M86" s="74" t="n">
        <x:f>IF(L86="","",ABS(L86))</x:f>
        <x:v>2.5550000000000006</x:v>
      </x:c>
      <x:c r="N86" s="75" t="n">
        <x:f>IF(M86="","",M86/B86*100)</x:f>
        <x:v>57.545045045045065</x:v>
      </x:c>
      <x:c r="O86" s="74" t="n">
        <x:v>6.75</x:v>
      </x:c>
      <x:c r="P86" s="74" t="n">
        <x:f>IF(O86="","",O86-B86)</x:f>
        <x:v>2.3100000000000005</x:v>
      </x:c>
      <x:c r="Q86" s="74" t="n">
        <x:f>IF(P86="","",ABS(P86))</x:f>
        <x:v>2.3100000000000005</x:v>
      </x:c>
      <x:c r="R86" s="75" t="n">
        <x:f>IF(Q86="","",Q86/B86*100)</x:f>
        <x:v>52.02702702702704</x:v>
      </x:c>
      <x:c r="S86" s="74" t="n">
        <x:v>5.64</x:v>
      </x:c>
      <x:c r="T86" s="74" t="n">
        <x:f>IF(S86="","",S86-B86)</x:f>
        <x:v>1.2000000000000002</x:v>
      </x:c>
      <x:c r="U86" s="74" t="n">
        <x:f>IF(T86="","",ABS(T86))</x:f>
        <x:v>1.2000000000000002</x:v>
      </x:c>
      <x:c r="V86" s="75" t="n">
        <x:f>IF(U86="","",U86/B86*100)</x:f>
        <x:v>27.027027027027035</x:v>
      </x:c>
      <x:c r="W86" s="73" t="str">
        <x:f>IF(G86&lt;&gt;"","Genus",IF(K86&lt;&gt;"","Family",IF(O86&lt;&gt;"","Ecological proxy",IF(S86&lt;&gt;"","Broad","No fallback"))))</x:f>
        <x:v>Family</x:v>
      </x:c>
      <x:c r="X86" s="74" t="n">
        <x:f>IF(G86&lt;&gt;"",G86,IF(K86&lt;&gt;"",K86,IF(O86&lt;&gt;"",O86,IF(S86&lt;&gt;"",S86,""))))</x:f>
        <x:v>6.995</x:v>
      </x:c>
      <x:c r="Y86" s="74" t="n">
        <x:f>IF(X86="","",X86-B86)</x:f>
        <x:v>2.5550000000000006</x:v>
      </x:c>
      <x:c r="Z86" s="74" t="n">
        <x:f>IF(Y86="","",ABS(Y86))</x:f>
        <x:v>2.5550000000000006</x:v>
      </x:c>
      <x:c r="AA86" s="75" t="n">
        <x:f>IF(Z86="","",Z86/B86*100)</x:f>
        <x:v>57.545045045045065</x:v>
      </x:c>
      <x:c r="AB86" s="73" t="str"/>
    </x:row>
    <x:row r="87" ht="66" hidden="0" customHeight="1">
      <x:c r="A87" s="80" t="str">
        <x:v>Afurcagobius tamarensis</x:v>
      </x:c>
      <x:c r="B87" s="74" t="n">
        <x:v>5</x:v>
      </x:c>
      <x:c r="C87" s="73" t="str">
        <x:v>Afurcagobius</x:v>
      </x:c>
      <x:c r="D87" s="73" t="str">
        <x:v>Gobiidae</x:v>
      </x:c>
      <x:c r="E87" s="73" t="str">
        <x:v>Small demersal zoobenthivorous fishes</x:v>
      </x:c>
      <x:c r="F87" s="73" t="str">
        <x:v>Teleostei</x:v>
      </x:c>
      <x:c r="G87" s="74"/>
      <x:c r="H87" s="74" t="str">
        <x:f>IF(G87="","",G87-B87)</x:f>
      </x:c>
      <x:c r="I87" s="74" t="str">
        <x:f>IF(H87="","",ABS(H87))</x:f>
      </x:c>
      <x:c r="J87" s="75" t="str">
        <x:f>IF(I87="","",I87/B87*100)</x:f>
      </x:c>
      <x:c r="K87" s="74" t="n">
        <x:v>4.26</x:v>
      </x:c>
      <x:c r="L87" s="74" t="n">
        <x:f>IF(K87="","",K87-B87)</x:f>
        <x:v>-0.7400000000000002</x:v>
      </x:c>
      <x:c r="M87" s="74" t="n">
        <x:f>IF(L87="","",ABS(L87))</x:f>
        <x:v>0.7400000000000002</x:v>
      </x:c>
      <x:c r="N87" s="75" t="n">
        <x:f>IF(M87="","",M87/B87*100)</x:f>
        <x:v>14.800000000000004</x:v>
      </x:c>
      <x:c r="O87" s="74" t="n">
        <x:v>5.25</x:v>
      </x:c>
      <x:c r="P87" s="74" t="n">
        <x:f>IF(O87="","",O87-B87)</x:f>
        <x:v>0.25</x:v>
      </x:c>
      <x:c r="Q87" s="74" t="n">
        <x:f>IF(P87="","",ABS(P87))</x:f>
        <x:v>0.25</x:v>
      </x:c>
      <x:c r="R87" s="75" t="n">
        <x:f>IF(Q87="","",Q87/B87*100)</x:f>
        <x:v>5</x:v>
      </x:c>
      <x:c r="S87" s="74" t="n">
        <x:v>5.64</x:v>
      </x:c>
      <x:c r="T87" s="74" t="n">
        <x:f>IF(S87="","",S87-B87)</x:f>
        <x:v>0.6399999999999997</x:v>
      </x:c>
      <x:c r="U87" s="74" t="n">
        <x:f>IF(T87="","",ABS(T87))</x:f>
        <x:v>0.6399999999999997</x:v>
      </x:c>
      <x:c r="V87" s="75" t="n">
        <x:f>IF(U87="","",U87/B87*100)</x:f>
        <x:v>12.799999999999995</x:v>
      </x:c>
      <x:c r="W87" s="73" t="str">
        <x:f>IF(G87&lt;&gt;"","Genus",IF(K87&lt;&gt;"","Family",IF(O87&lt;&gt;"","Ecological proxy",IF(S87&lt;&gt;"","Broad","No fallback"))))</x:f>
        <x:v>Family</x:v>
      </x:c>
      <x:c r="X87" s="74" t="n">
        <x:f>IF(G87&lt;&gt;"",G87,IF(K87&lt;&gt;"",K87,IF(O87&lt;&gt;"",O87,IF(S87&lt;&gt;"",S87,""))))</x:f>
        <x:v>4.26</x:v>
      </x:c>
      <x:c r="Y87" s="74" t="n">
        <x:f>IF(X87="","",X87-B87)</x:f>
        <x:v>-0.7400000000000002</x:v>
      </x:c>
      <x:c r="Z87" s="74" t="n">
        <x:f>IF(Y87="","",ABS(Y87))</x:f>
        <x:v>0.7400000000000002</x:v>
      </x:c>
      <x:c r="AA87" s="75" t="n">
        <x:f>IF(Z87="","",Z87/B87*100)</x:f>
        <x:v>14.800000000000004</x:v>
      </x:c>
      <x:c r="AB87" s="73" t="str"/>
    </x:row>
    <x:row r="88" ht="66" hidden="0" customHeight="1">
      <x:c r="A88" s="80" t="str">
        <x:v>Tasmanogobius lasti</x:v>
      </x:c>
      <x:c r="B88" s="74" t="n">
        <x:v>5.64</x:v>
      </x:c>
      <x:c r="C88" s="73" t="str">
        <x:v>Tasmanogobius</x:v>
      </x:c>
      <x:c r="D88" s="73" t="str">
        <x:v>Gobiidae</x:v>
      </x:c>
      <x:c r="E88" s="73" t="str">
        <x:v>Small demersal zoobenthivorous fishes</x:v>
      </x:c>
      <x:c r="F88" s="73" t="str">
        <x:v>Teleostei</x:v>
      </x:c>
      <x:c r="G88" s="74"/>
      <x:c r="H88" s="74" t="str">
        <x:f>IF(G88="","",G88-B88)</x:f>
      </x:c>
      <x:c r="I88" s="74" t="str">
        <x:f>IF(H88="","",ABS(H88))</x:f>
      </x:c>
      <x:c r="J88" s="75" t="str">
        <x:f>IF(I88="","",I88/B88*100)</x:f>
      </x:c>
      <x:c r="K88" s="74" t="n">
        <x:v>4.26</x:v>
      </x:c>
      <x:c r="L88" s="74" t="n">
        <x:f>IF(K88="","",K88-B88)</x:f>
        <x:v>-1.38</x:v>
      </x:c>
      <x:c r="M88" s="74" t="n">
        <x:f>IF(L88="","",ABS(L88))</x:f>
        <x:v>1.38</x:v>
      </x:c>
      <x:c r="N88" s="75" t="n">
        <x:f>IF(M88="","",M88/B88*100)</x:f>
        <x:v>24.46808510638298</x:v>
      </x:c>
      <x:c r="O88" s="74" t="n">
        <x:v>5.25</x:v>
      </x:c>
      <x:c r="P88" s="74" t="n">
        <x:f>IF(O88="","",O88-B88)</x:f>
        <x:v>-0.3899999999999997</x:v>
      </x:c>
      <x:c r="Q88" s="74" t="n">
        <x:f>IF(P88="","",ABS(P88))</x:f>
        <x:v>0.3899999999999997</x:v>
      </x:c>
      <x:c r="R88" s="75" t="n">
        <x:f>IF(Q88="","",Q88/B88*100)</x:f>
        <x:v>6.914893617021272</x:v>
      </x:c>
      <x:c r="S88" s="74" t="n">
        <x:v>5.6</x:v>
      </x:c>
      <x:c r="T88" s="74" t="n">
        <x:f>IF(S88="","",S88-B88)</x:f>
        <x:v>-0.040000000000000036</x:v>
      </x:c>
      <x:c r="U88" s="74" t="n">
        <x:f>IF(T88="","",ABS(T88))</x:f>
        <x:v>0.040000000000000036</x:v>
      </x:c>
      <x:c r="V88" s="75" t="n">
        <x:f>IF(U88="","",U88/B88*100)</x:f>
        <x:v>0.7092198581560291</x:v>
      </x:c>
      <x:c r="W88" s="73" t="str">
        <x:f>IF(G88&lt;&gt;"","Genus",IF(K88&lt;&gt;"","Family",IF(O88&lt;&gt;"","Ecological proxy",IF(S88&lt;&gt;"","Broad","No fallback"))))</x:f>
        <x:v>Family</x:v>
      </x:c>
      <x:c r="X88" s="74" t="n">
        <x:f>IF(G88&lt;&gt;"",G88,IF(K88&lt;&gt;"",K88,IF(O88&lt;&gt;"",O88,IF(S88&lt;&gt;"",S88,""))))</x:f>
        <x:v>4.26</x:v>
      </x:c>
      <x:c r="Y88" s="74" t="n">
        <x:f>IF(X88="","",X88-B88)</x:f>
        <x:v>-1.38</x:v>
      </x:c>
      <x:c r="Z88" s="74" t="n">
        <x:f>IF(Y88="","",ABS(Y88))</x:f>
        <x:v>1.38</x:v>
      </x:c>
      <x:c r="AA88" s="75" t="n">
        <x:f>IF(Z88="","",Z88/B88*100)</x:f>
        <x:v>24.46808510638298</x:v>
      </x:c>
      <x:c r="AB88" s="73" t="str"/>
    </x:row>
    <x:row r="89" ht="39.599998474121094" hidden="0" customHeight="1">
      <x:c r="A89" s="80" t="str">
        <x:v>Pseudaphritis urvillii</x:v>
      </x:c>
      <x:c r="B89" s="74" t="n">
        <x:v>6.35</x:v>
      </x:c>
      <x:c r="C89" s="73" t="str">
        <x:v>Pseudaphritis</x:v>
      </x:c>
      <x:c r="D89" s="73" t="str">
        <x:v>Pseudaphritidae</x:v>
      </x:c>
      <x:c r="E89" s="73" t="str">
        <x:v>Other demersal fishes</x:v>
      </x:c>
      <x:c r="F89" s="73" t="str">
        <x:v>Teleostei</x:v>
      </x:c>
      <x:c r="G89" s="74"/>
      <x:c r="H89" s="74" t="str">
        <x:f>IF(G89="","",G89-B89)</x:f>
      </x:c>
      <x:c r="I89" s="74" t="str">
        <x:f>IF(H89="","",ABS(H89))</x:f>
      </x:c>
      <x:c r="J89" s="75" t="str">
        <x:f>IF(I89="","",I89/B89*100)</x:f>
      </x:c>
      <x:c r="K89" s="74"/>
      <x:c r="L89" s="74" t="str">
        <x:f>IF(K89="","",K89-B89)</x:f>
      </x:c>
      <x:c r="M89" s="74" t="str">
        <x:f>IF(L89="","",ABS(L89))</x:f>
      </x:c>
      <x:c r="N89" s="75" t="str">
        <x:f>IF(M89="","",M89/B89*100)</x:f>
      </x:c>
      <x:c r="O89" s="74" t="n">
        <x:v>5</x:v>
      </x:c>
      <x:c r="P89" s="74" t="n">
        <x:f>IF(O89="","",O89-B89)</x:f>
        <x:v>-1.3499999999999996</x:v>
      </x:c>
      <x:c r="Q89" s="74" t="n">
        <x:f>IF(P89="","",ABS(P89))</x:f>
        <x:v>1.3499999999999996</x:v>
      </x:c>
      <x:c r="R89" s="75" t="n">
        <x:f>IF(Q89="","",Q89/B89*100)</x:f>
        <x:v>21.259842519685034</x:v>
      </x:c>
      <x:c r="S89" s="74" t="n">
        <x:v>5.6</x:v>
      </x:c>
      <x:c r="T89" s="74" t="n">
        <x:f>IF(S89="","",S89-B89)</x:f>
        <x:v>-0.75</x:v>
      </x:c>
      <x:c r="U89" s="74" t="n">
        <x:f>IF(T89="","",ABS(T89))</x:f>
        <x:v>0.75</x:v>
      </x:c>
      <x:c r="V89" s="75" t="n">
        <x:f>IF(U89="","",U89/B89*100)</x:f>
        <x:v>11.811023622047244</x:v>
      </x:c>
      <x:c r="W89" s="73" t="str">
        <x:f>IF(G89&lt;&gt;"","Genus",IF(K89&lt;&gt;"","Family",IF(O89&lt;&gt;"","Ecological proxy",IF(S89&lt;&gt;"","Broad","No fallback"))))</x:f>
        <x:v>Ecological proxy</x:v>
      </x:c>
      <x:c r="X89" s="74" t="n">
        <x:f>IF(G89&lt;&gt;"",G89,IF(K89&lt;&gt;"",K89,IF(O89&lt;&gt;"",O89,IF(S89&lt;&gt;"",S89,""))))</x:f>
        <x:v>5</x:v>
      </x:c>
      <x:c r="Y89" s="74" t="n">
        <x:f>IF(X89="","",X89-B89)</x:f>
        <x:v>-1.3499999999999996</x:v>
      </x:c>
      <x:c r="Z89" s="74" t="n">
        <x:f>IF(Y89="","",ABS(Y89))</x:f>
        <x:v>1.3499999999999996</x:v>
      </x:c>
      <x:c r="AA89" s="75" t="n">
        <x:f>IF(Z89="","",Z89/B89*100)</x:f>
        <x:v>21.259842519685034</x:v>
      </x:c>
      <x:c r="AB89" s="73" t="str"/>
    </x:row>
    <x:row r="90" ht="52.79999923706055" hidden="0" customHeight="1">
      <x:c r="A90" s="80" t="str">
        <x:v>Atherinosoma microstoma</x:v>
      </x:c>
      <x:c r="B90" s="74" t="n">
        <x:v>5.32</x:v>
      </x:c>
      <x:c r="C90" s="73" t="str">
        <x:v>Atherinosoma</x:v>
      </x:c>
      <x:c r="D90" s="73" t="str">
        <x:v>Atherinidae</x:v>
      </x:c>
      <x:c r="E90" s="73" t="str">
        <x:v>Small pelagic forage fishes</x:v>
      </x:c>
      <x:c r="F90" s="73" t="str">
        <x:v>Teleostei</x:v>
      </x:c>
      <x:c r="G90" s="74"/>
      <x:c r="H90" s="74" t="str">
        <x:f>IF(G90="","",G90-B90)</x:f>
      </x:c>
      <x:c r="I90" s="74" t="str">
        <x:f>IF(H90="","",ABS(H90))</x:f>
      </x:c>
      <x:c r="J90" s="75" t="str">
        <x:f>IF(I90="","",I90/B90*100)</x:f>
      </x:c>
      <x:c r="K90" s="74" t="n">
        <x:v>4.23</x:v>
      </x:c>
      <x:c r="L90" s="74" t="n">
        <x:f>IF(K90="","",K90-B90)</x:f>
        <x:v>-1.0899999999999999</x:v>
      </x:c>
      <x:c r="M90" s="74" t="n">
        <x:f>IF(L90="","",ABS(L90))</x:f>
        <x:v>1.0899999999999999</x:v>
      </x:c>
      <x:c r="N90" s="75" t="n">
        <x:f>IF(M90="","",M90/B90*100)</x:f>
        <x:v>20.488721804511275</x:v>
      </x:c>
      <x:c r="O90" s="74" t="n">
        <x:v>6.75</x:v>
      </x:c>
      <x:c r="P90" s="74" t="n">
        <x:f>IF(O90="","",O90-B90)</x:f>
        <x:v>1.4299999999999997</x:v>
      </x:c>
      <x:c r="Q90" s="74" t="n">
        <x:f>IF(P90="","",ABS(P90))</x:f>
        <x:v>1.4299999999999997</x:v>
      </x:c>
      <x:c r="R90" s="75" t="n">
        <x:f>IF(Q90="","",Q90/B90*100)</x:f>
        <x:v>26.879699248120293</x:v>
      </x:c>
      <x:c r="S90" s="74" t="n">
        <x:v>5.64</x:v>
      </x:c>
      <x:c r="T90" s="74" t="n">
        <x:f>IF(S90="","",S90-B90)</x:f>
        <x:v>0.3199999999999994</x:v>
      </x:c>
      <x:c r="U90" s="74" t="n">
        <x:f>IF(T90="","",ABS(T90))</x:f>
        <x:v>0.3199999999999994</x:v>
      </x:c>
      <x:c r="V90" s="75" t="n">
        <x:f>IF(U90="","",U90/B90*100)</x:f>
        <x:v>6.015037593984951</x:v>
      </x:c>
      <x:c r="W90" s="73" t="str">
        <x:f>IF(G90&lt;&gt;"","Genus",IF(K90&lt;&gt;"","Family",IF(O90&lt;&gt;"","Ecological proxy",IF(S90&lt;&gt;"","Broad","No fallback"))))</x:f>
        <x:v>Family</x:v>
      </x:c>
      <x:c r="X90" s="74" t="n">
        <x:f>IF(G90&lt;&gt;"",G90,IF(K90&lt;&gt;"",K90,IF(O90&lt;&gt;"",O90,IF(S90&lt;&gt;"",S90,""))))</x:f>
        <x:v>4.23</x:v>
      </x:c>
      <x:c r="Y90" s="74" t="n">
        <x:f>IF(X90="","",X90-B90)</x:f>
        <x:v>-1.0899999999999999</x:v>
      </x:c>
      <x:c r="Z90" s="74" t="n">
        <x:f>IF(Y90="","",ABS(Y90))</x:f>
        <x:v>1.0899999999999999</x:v>
      </x:c>
      <x:c r="AA90" s="75" t="n">
        <x:f>IF(Z90="","",Z90/B90*100)</x:f>
        <x:v>20.488721804511275</x:v>
      </x:c>
      <x:c r="AB90" s="73" t="str"/>
    </x:row>
    <x:row r="91" ht="39.599998474121094" hidden="0" customHeight="1">
      <x:c r="A91" s="80" t="str">
        <x:v>Aldrichetta forsteri</x:v>
      </x:c>
      <x:c r="B91" s="74" t="n">
        <x:v>6.14</x:v>
      </x:c>
      <x:c r="C91" s="73" t="str">
        <x:v>Aldrichetta</x:v>
      </x:c>
      <x:c r="D91" s="73" t="str">
        <x:v>Mugilidae</x:v>
      </x:c>
      <x:c r="E91" s="73" t="str">
        <x:v>Estuarine/coastal fishes</x:v>
      </x:c>
      <x:c r="F91" s="73" t="str">
        <x:v>Teleostei</x:v>
      </x:c>
      <x:c r="G91" s="74"/>
      <x:c r="H91" s="74" t="str">
        <x:f>IF(G91="","",G91-B91)</x:f>
      </x:c>
      <x:c r="I91" s="74" t="str">
        <x:f>IF(H91="","",ABS(H91))</x:f>
      </x:c>
      <x:c r="J91" s="75" t="str">
        <x:f>IF(I91="","",I91/B91*100)</x:f>
      </x:c>
      <x:c r="K91" s="74" t="n">
        <x:v>5.945</x:v>
      </x:c>
      <x:c r="L91" s="74" t="n">
        <x:f>IF(K91="","",K91-B91)</x:f>
        <x:v>-0.1949999999999994</x:v>
      </x:c>
      <x:c r="M91" s="74" t="n">
        <x:f>IF(L91="","",ABS(L91))</x:f>
        <x:v>0.1949999999999994</x:v>
      </x:c>
      <x:c r="N91" s="75" t="n">
        <x:f>IF(M91="","",M91/B91*100)</x:f>
        <x:v>3.175895765472303</x:v>
      </x:c>
      <x:c r="O91" s="74" t="n">
        <x:v>5.39</x:v>
      </x:c>
      <x:c r="P91" s="74" t="n">
        <x:f>IF(O91="","",O91-B91)</x:f>
        <x:v>-0.75</x:v>
      </x:c>
      <x:c r="Q91" s="74" t="n">
        <x:f>IF(P91="","",ABS(P91))</x:f>
        <x:v>0.75</x:v>
      </x:c>
      <x:c r="R91" s="75" t="n">
        <x:f>IF(Q91="","",Q91/B91*100)</x:f>
        <x:v>12.21498371335505</x:v>
      </x:c>
      <x:c r="S91" s="74" t="n">
        <x:v>5.6</x:v>
      </x:c>
      <x:c r="T91" s="74" t="n">
        <x:f>IF(S91="","",S91-B91)</x:f>
        <x:v>-0.54</x:v>
      </x:c>
      <x:c r="U91" s="74" t="n">
        <x:f>IF(T91="","",ABS(T91))</x:f>
        <x:v>0.54</x:v>
      </x:c>
      <x:c r="V91" s="75" t="n">
        <x:f>IF(U91="","",U91/B91*100)</x:f>
        <x:v>8.794788273615636</x:v>
      </x:c>
      <x:c r="W91" s="73" t="str">
        <x:f>IF(G91&lt;&gt;"","Genus",IF(K91&lt;&gt;"","Family",IF(O91&lt;&gt;"","Ecological proxy",IF(S91&lt;&gt;"","Broad","No fallback"))))</x:f>
        <x:v>Family</x:v>
      </x:c>
      <x:c r="X91" s="74" t="n">
        <x:f>IF(G91&lt;&gt;"",G91,IF(K91&lt;&gt;"",K91,IF(O91&lt;&gt;"",O91,IF(S91&lt;&gt;"",S91,""))))</x:f>
        <x:v>5.945</x:v>
      </x:c>
      <x:c r="Y91" s="74" t="n">
        <x:f>IF(X91="","",X91-B91)</x:f>
        <x:v>-0.1949999999999994</x:v>
      </x:c>
      <x:c r="Z91" s="74" t="n">
        <x:f>IF(Y91="","",ABS(Y91))</x:f>
        <x:v>0.1949999999999994</x:v>
      </x:c>
      <x:c r="AA91" s="75" t="n">
        <x:f>IF(Z91="","",Z91/B91*100)</x:f>
        <x:v>3.175895765472303</x:v>
      </x:c>
      <x:c r="AB91" s="73" t="str"/>
    </x:row>
    <x:row r="92" ht="39.599998474121094" hidden="0" customHeight="1">
      <x:c r="A92" s="80" t="str">
        <x:v>Ammotretis rostratus</x:v>
      </x:c>
      <x:c r="B92" s="74" t="n">
        <x:v>4.72</x:v>
      </x:c>
      <x:c r="C92" s="73" t="str">
        <x:v>Ammotretis</x:v>
      </x:c>
      <x:c r="D92" s="73" t="str">
        <x:v>Pleuronectidae</x:v>
      </x:c>
      <x:c r="E92" s="73" t="str">
        <x:v>Demersal flatfishes</x:v>
      </x:c>
      <x:c r="F92" s="73" t="str">
        <x:v>Teleostei</x:v>
      </x:c>
      <x:c r="G92" s="74"/>
      <x:c r="H92" s="74" t="str">
        <x:f>IF(G92="","",G92-B92)</x:f>
      </x:c>
      <x:c r="I92" s="74" t="str">
        <x:f>IF(H92="","",ABS(H92))</x:f>
      </x:c>
      <x:c r="J92" s="75" t="str">
        <x:f>IF(I92="","",I92/B92*100)</x:f>
      </x:c>
      <x:c r="K92" s="74" t="n">
        <x:v>5.699999999999999</x:v>
      </x:c>
      <x:c r="L92" s="74" t="n">
        <x:f>IF(K92="","",K92-B92)</x:f>
        <x:v>0.9799999999999995</x:v>
      </x:c>
      <x:c r="M92" s="74" t="n">
        <x:f>IF(L92="","",ABS(L92))</x:f>
        <x:v>0.9799999999999995</x:v>
      </x:c>
      <x:c r="N92" s="75" t="n">
        <x:f>IF(M92="","",M92/B92*100)</x:f>
        <x:v>20.76271186440677</x:v>
      </x:c>
      <x:c r="O92" s="74" t="n">
        <x:v>4.98</x:v>
      </x:c>
      <x:c r="P92" s="74" t="n">
        <x:f>IF(O92="","",O92-B92)</x:f>
        <x:v>0.2600000000000007</x:v>
      </x:c>
      <x:c r="Q92" s="74" t="n">
        <x:f>IF(P92="","",ABS(P92))</x:f>
        <x:v>0.2600000000000007</x:v>
      </x:c>
      <x:c r="R92" s="75" t="n">
        <x:f>IF(Q92="","",Q92/B92*100)</x:f>
        <x:v>5.508474576271201</x:v>
      </x:c>
      <x:c r="S92" s="74" t="n">
        <x:v>5.64</x:v>
      </x:c>
      <x:c r="T92" s="74" t="n">
        <x:f>IF(S92="","",S92-B92)</x:f>
        <x:v>0.9199999999999999</x:v>
      </x:c>
      <x:c r="U92" s="74" t="n">
        <x:f>IF(T92="","",ABS(T92))</x:f>
        <x:v>0.9199999999999999</x:v>
      </x:c>
      <x:c r="V92" s="75" t="n">
        <x:f>IF(U92="","",U92/B92*100)</x:f>
        <x:v>19.491525423728813</x:v>
      </x:c>
      <x:c r="W92" s="73" t="str">
        <x:f>IF(G92&lt;&gt;"","Genus",IF(K92&lt;&gt;"","Family",IF(O92&lt;&gt;"","Ecological proxy",IF(S92&lt;&gt;"","Broad","No fallback"))))</x:f>
        <x:v>Family</x:v>
      </x:c>
      <x:c r="X92" s="74" t="n">
        <x:f>IF(G92&lt;&gt;"",G92,IF(K92&lt;&gt;"",K92,IF(O92&lt;&gt;"",O92,IF(S92&lt;&gt;"",S92,""))))</x:f>
        <x:v>5.699999999999999</x:v>
      </x:c>
      <x:c r="Y92" s="74" t="n">
        <x:f>IF(X92="","",X92-B92)</x:f>
        <x:v>0.9799999999999995</x:v>
      </x:c>
      <x:c r="Z92" s="74" t="n">
        <x:f>IF(Y92="","",ABS(Y92))</x:f>
        <x:v>0.9799999999999995</x:v>
      </x:c>
      <x:c r="AA92" s="75" t="n">
        <x:f>IF(Z92="","",Z92/B92*100)</x:f>
        <x:v>20.76271186440677</x:v>
      </x:c>
      <x:c r="AB92" s="73" t="str"/>
    </x:row>
    <x:row r="93" ht="39.599998474121094" hidden="0" customHeight="1">
      <x:c r="A93" s="80" t="str">
        <x:v>Rhombosolea tapirina</x:v>
      </x:c>
      <x:c r="B93" s="74" t="n">
        <x:v>4.99</x:v>
      </x:c>
      <x:c r="C93" s="73" t="str">
        <x:v>Rhombosolea</x:v>
      </x:c>
      <x:c r="D93" s="73" t="str">
        <x:v>Pleuronectidae</x:v>
      </x:c>
      <x:c r="E93" s="73" t="str">
        <x:v>Demersal flatfishes</x:v>
      </x:c>
      <x:c r="F93" s="73" t="str">
        <x:v>Teleostei</x:v>
      </x:c>
      <x:c r="G93" s="74"/>
      <x:c r="H93" s="74" t="str">
        <x:f>IF(G93="","",G93-B93)</x:f>
      </x:c>
      <x:c r="I93" s="74" t="str">
        <x:f>IF(H93="","",ABS(H93))</x:f>
      </x:c>
      <x:c r="J93" s="75" t="str">
        <x:f>IF(I93="","",I93/B93*100)</x:f>
      </x:c>
      <x:c r="K93" s="74" t="n">
        <x:v>5.699999999999999</x:v>
      </x:c>
      <x:c r="L93" s="74" t="n">
        <x:f>IF(K93="","",K93-B93)</x:f>
        <x:v>0.7099999999999991</x:v>
      </x:c>
      <x:c r="M93" s="74" t="n">
        <x:f>IF(L93="","",ABS(L93))</x:f>
        <x:v>0.7099999999999991</x:v>
      </x:c>
      <x:c r="N93" s="75" t="n">
        <x:f>IF(M93="","",M93/B93*100)</x:f>
        <x:v>14.228456913827635</x:v>
      </x:c>
      <x:c r="O93" s="74" t="n">
        <x:v>4.98</x:v>
      </x:c>
      <x:c r="P93" s="74" t="n">
        <x:f>IF(O93="","",O93-B93)</x:f>
        <x:v>-0.009999999999999787</x:v>
      </x:c>
      <x:c r="Q93" s="74" t="n">
        <x:f>IF(P93="","",ABS(P93))</x:f>
        <x:v>0.009999999999999787</x:v>
      </x:c>
      <x:c r="R93" s="75" t="n">
        <x:f>IF(Q93="","",Q93/B93*100)</x:f>
        <x:v>0.20040080160320214</x:v>
      </x:c>
      <x:c r="S93" s="74" t="n">
        <x:v>5.64</x:v>
      </x:c>
      <x:c r="T93" s="74" t="n">
        <x:f>IF(S93="","",S93-B93)</x:f>
        <x:v>0.6499999999999995</x:v>
      </x:c>
      <x:c r="U93" s="74" t="n">
        <x:f>IF(T93="","",ABS(T93))</x:f>
        <x:v>0.6499999999999995</x:v>
      </x:c>
      <x:c r="V93" s="75" t="n">
        <x:f>IF(U93="","",U93/B93*100)</x:f>
        <x:v>13.026052104208405</x:v>
      </x:c>
      <x:c r="W93" s="73" t="str">
        <x:f>IF(G93&lt;&gt;"","Genus",IF(K93&lt;&gt;"","Family",IF(O93&lt;&gt;"","Ecological proxy",IF(S93&lt;&gt;"","Broad","No fallback"))))</x:f>
        <x:v>Family</x:v>
      </x:c>
      <x:c r="X93" s="74" t="n">
        <x:f>IF(G93&lt;&gt;"",G93,IF(K93&lt;&gt;"",K93,IF(O93&lt;&gt;"",O93,IF(S93&lt;&gt;"",S93,""))))</x:f>
        <x:v>5.699999999999999</x:v>
      </x:c>
      <x:c r="Y93" s="74" t="n">
        <x:f>IF(X93="","",X93-B93)</x:f>
        <x:v>0.7099999999999991</x:v>
      </x:c>
      <x:c r="Z93" s="74" t="n">
        <x:f>IF(Y93="","",ABS(Y93))</x:f>
        <x:v>0.7099999999999991</x:v>
      </x:c>
      <x:c r="AA93" s="75" t="n">
        <x:f>IF(Z93="","",Z93/B93*100)</x:f>
        <x:v>14.228456913827635</x:v>
      </x:c>
      <x:c r="AB93" s="73" t="str"/>
    </x:row>
    <x:row r="94" ht="39.599998474121094" hidden="0" customHeight="1">
      <x:c r="A94" s="80" t="str">
        <x:v>Acanthopagrus butcheri</x:v>
      </x:c>
      <x:c r="B94" s="74" t="n">
        <x:v>5.97</x:v>
      </x:c>
      <x:c r="C94" s="73" t="str">
        <x:v>Acanthopagrus</x:v>
      </x:c>
      <x:c r="D94" s="73" t="str">
        <x:v>Sparidae</x:v>
      </x:c>
      <x:c r="E94" s="73" t="str">
        <x:v>Other demersal fishes</x:v>
      </x:c>
      <x:c r="F94" s="73" t="str">
        <x:v>Teleostei</x:v>
      </x:c>
      <x:c r="G94" s="74" t="n">
        <x:v>5.75</x:v>
      </x:c>
      <x:c r="H94" s="74" t="n">
        <x:f>IF(G94="","",G94-B94)</x:f>
        <x:v>-0.21999999999999975</x:v>
      </x:c>
      <x:c r="I94" s="74" t="n">
        <x:f>IF(H94="","",ABS(H94))</x:f>
        <x:v>0.21999999999999975</x:v>
      </x:c>
      <x:c r="J94" s="75" t="n">
        <x:f>IF(I94="","",I94/B94*100)</x:f>
        <x:v>3.6850921273031787</x:v>
      </x:c>
      <x:c r="K94" s="74" t="n">
        <x:v>7.45</x:v>
      </x:c>
      <x:c r="L94" s="74" t="n">
        <x:f>IF(K94="","",K94-B94)</x:f>
        <x:v>1.4800000000000004</x:v>
      </x:c>
      <x:c r="M94" s="74" t="n">
        <x:f>IF(L94="","",ABS(L94))</x:f>
        <x:v>1.4800000000000004</x:v>
      </x:c>
      <x:c r="N94" s="75" t="n">
        <x:f>IF(M94="","",M94/B94*100)</x:f>
        <x:v>24.790619765494146</x:v>
      </x:c>
      <x:c r="O94" s="74" t="n">
        <x:v>5</x:v>
      </x:c>
      <x:c r="P94" s="74" t="n">
        <x:f>IF(O94="","",O94-B94)</x:f>
        <x:v>-0.9699999999999998</x:v>
      </x:c>
      <x:c r="Q94" s="74" t="n">
        <x:f>IF(P94="","",ABS(P94))</x:f>
        <x:v>0.9699999999999998</x:v>
      </x:c>
      <x:c r="R94" s="75" t="n">
        <x:f>IF(Q94="","",Q94/B94*100)</x:f>
        <x:v>16.247906197654938</x:v>
      </x:c>
      <x:c r="S94" s="74" t="n">
        <x:v>5.6</x:v>
      </x:c>
      <x:c r="T94" s="74" t="n">
        <x:f>IF(S94="","",S94-B94)</x:f>
        <x:v>-0.3700000000000001</x:v>
      </x:c>
      <x:c r="U94" s="74" t="n">
        <x:f>IF(T94="","",ABS(T94))</x:f>
        <x:v>0.3700000000000001</x:v>
      </x:c>
      <x:c r="V94" s="75" t="n">
        <x:f>IF(U94="","",U94/B94*100)</x:f>
        <x:v>6.1976549413735365</x:v>
      </x:c>
      <x:c r="W94" s="73" t="str">
        <x:f>IF(G94&lt;&gt;"","Genus",IF(K94&lt;&gt;"","Family",IF(O94&lt;&gt;"","Ecological proxy",IF(S94&lt;&gt;"","Broad","No fallback"))))</x:f>
        <x:v>Genus</x:v>
      </x:c>
      <x:c r="X94" s="74" t="n">
        <x:f>IF(G94&lt;&gt;"",G94,IF(K94&lt;&gt;"",K94,IF(O94&lt;&gt;"",O94,IF(S94&lt;&gt;"",S94,""))))</x:f>
        <x:v>5.75</x:v>
      </x:c>
      <x:c r="Y94" s="74" t="n">
        <x:f>IF(X94="","",X94-B94)</x:f>
        <x:v>-0.21999999999999975</x:v>
      </x:c>
      <x:c r="Z94" s="74" t="n">
        <x:f>IF(Y94="","",ABS(Y94))</x:f>
        <x:v>0.21999999999999975</x:v>
      </x:c>
      <x:c r="AA94" s="75" t="n">
        <x:f>IF(Z94="","",Z94/B94*100)</x:f>
        <x:v>3.6850921273031787</x:v>
      </x:c>
      <x:c r="AB94" s="73" t="str"/>
    </x:row>
    <x:row r="95" ht="39.599998474121094" hidden="0" customHeight="1">
      <x:c r="A95" s="80" t="str">
        <x:v>Arripis truttaceus</x:v>
      </x:c>
      <x:c r="B95" s="74" t="n">
        <x:v>5.92</x:v>
      </x:c>
      <x:c r="C95" s="73" t="str">
        <x:v>Arripis</x:v>
      </x:c>
      <x:c r="D95" s="73" t="str">
        <x:v>Arripidae</x:v>
      </x:c>
      <x:c r="E95" s="73" t="str">
        <x:v>Other pelagic fishes</x:v>
      </x:c>
      <x:c r="F95" s="73" t="str">
        <x:v>Teleostei</x:v>
      </x:c>
      <x:c r="G95" s="74"/>
      <x:c r="H95" s="74" t="str">
        <x:f>IF(G95="","",G95-B95)</x:f>
      </x:c>
      <x:c r="I95" s="74" t="str">
        <x:f>IF(H95="","",ABS(H95))</x:f>
      </x:c>
      <x:c r="J95" s="75" t="str">
        <x:f>IF(I95="","",I95/B95*100)</x:f>
      </x:c>
      <x:c r="K95" s="74"/>
      <x:c r="L95" s="74" t="str">
        <x:f>IF(K95="","",K95-B95)</x:f>
      </x:c>
      <x:c r="M95" s="74" t="str">
        <x:f>IF(L95="","",ABS(L95))</x:f>
      </x:c>
      <x:c r="N95" s="75" t="str">
        <x:f>IF(M95="","",M95/B95*100)</x:f>
      </x:c>
      <x:c r="O95" s="74"/>
      <x:c r="P95" s="74" t="str">
        <x:f>IF(O95="","",O95-B95)</x:f>
      </x:c>
      <x:c r="Q95" s="74" t="str">
        <x:f>IF(P95="","",ABS(P95))</x:f>
      </x:c>
      <x:c r="R95" s="75" t="str">
        <x:f>IF(Q95="","",Q95/B95*100)</x:f>
      </x:c>
      <x:c r="S95" s="74" t="n">
        <x:v>5.6</x:v>
      </x:c>
      <x:c r="T95" s="74" t="n">
        <x:f>IF(S95="","",S95-B95)</x:f>
        <x:v>-0.3200000000000003</x:v>
      </x:c>
      <x:c r="U95" s="74" t="n">
        <x:f>IF(T95="","",ABS(T95))</x:f>
        <x:v>0.3200000000000003</x:v>
      </x:c>
      <x:c r="V95" s="75" t="n">
        <x:f>IF(U95="","",U95/B95*100)</x:f>
        <x:v>5.405405405405411</x:v>
      </x:c>
      <x:c r="W95" s="73" t="str">
        <x:f>IF(G95&lt;&gt;"","Genus",IF(K95&lt;&gt;"","Family",IF(O95&lt;&gt;"","Ecological proxy",IF(S95&lt;&gt;"","Broad","No fallback"))))</x:f>
        <x:v>Broad</x:v>
      </x:c>
      <x:c r="X95" s="74" t="n">
        <x:f>IF(G95&lt;&gt;"",G95,IF(K95&lt;&gt;"",K95,IF(O95&lt;&gt;"",O95,IF(S95&lt;&gt;"",S95,""))))</x:f>
        <x:v>5.6</x:v>
      </x:c>
      <x:c r="Y95" s="74" t="n">
        <x:f>IF(X95="","",X95-B95)</x:f>
        <x:v>-0.3200000000000003</x:v>
      </x:c>
      <x:c r="Z95" s="74" t="n">
        <x:f>IF(Y95="","",ABS(Y95))</x:f>
        <x:v>0.3200000000000003</x:v>
      </x:c>
      <x:c r="AA95" s="75" t="n">
        <x:f>IF(Z95="","",Z95/B95*100)</x:f>
        <x:v>5.405405405405411</x:v>
      </x:c>
      <x:c r="AB95" s="73" t="str"/>
    </x:row>
    <x:row r="96" ht="39.599998474121094" hidden="0" customHeight="1">
      <x:c r="A96" s="80" t="str">
        <x:v>Argyrosomus japonicus</x:v>
      </x:c>
      <x:c r="B96" s="74" t="n">
        <x:v>5.56</x:v>
      </x:c>
      <x:c r="C96" s="73" t="str">
        <x:v>Argyrosomus</x:v>
      </x:c>
      <x:c r="D96" s="73" t="str">
        <x:v>Sciaenidae</x:v>
      </x:c>
      <x:c r="E96" s="73" t="str">
        <x:v>Other demersal fishes</x:v>
      </x:c>
      <x:c r="F96" s="73" t="str">
        <x:v>Teleostei</x:v>
      </x:c>
      <x:c r="G96" s="74"/>
      <x:c r="H96" s="74" t="str">
        <x:f>IF(G96="","",G96-B96)</x:f>
      </x:c>
      <x:c r="I96" s="74" t="str">
        <x:f>IF(H96="","",ABS(H96))</x:f>
      </x:c>
      <x:c r="J96" s="75" t="str">
        <x:f>IF(I96="","",I96/B96*100)</x:f>
      </x:c>
      <x:c r="K96" s="74"/>
      <x:c r="L96" s="74" t="str">
        <x:f>IF(K96="","",K96-B96)</x:f>
      </x:c>
      <x:c r="M96" s="74" t="str">
        <x:f>IF(L96="","",ABS(L96))</x:f>
      </x:c>
      <x:c r="N96" s="75" t="str">
        <x:f>IF(M96="","",M96/B96*100)</x:f>
      </x:c>
      <x:c r="O96" s="74" t="n">
        <x:v>5</x:v>
      </x:c>
      <x:c r="P96" s="74" t="n">
        <x:f>IF(O96="","",O96-B96)</x:f>
        <x:v>-0.5599999999999996</x:v>
      </x:c>
      <x:c r="Q96" s="74" t="n">
        <x:f>IF(P96="","",ABS(P96))</x:f>
        <x:v>0.5599999999999996</x:v>
      </x:c>
      <x:c r="R96" s="75" t="n">
        <x:f>IF(Q96="","",Q96/B96*100)</x:f>
        <x:v>10.07194244604316</x:v>
      </x:c>
      <x:c r="S96" s="74" t="n">
        <x:v>5.64</x:v>
      </x:c>
      <x:c r="T96" s="74" t="n">
        <x:f>IF(S96="","",S96-B96)</x:f>
        <x:v>0.08000000000000007</x:v>
      </x:c>
      <x:c r="U96" s="74" t="n">
        <x:f>IF(T96="","",ABS(T96))</x:f>
        <x:v>0.08000000000000007</x:v>
      </x:c>
      <x:c r="V96" s="75" t="n">
        <x:f>IF(U96="","",U96/B96*100)</x:f>
        <x:v>1.4388489208633108</x:v>
      </x:c>
      <x:c r="W96" s="73" t="str">
        <x:f>IF(G96&lt;&gt;"","Genus",IF(K96&lt;&gt;"","Family",IF(O96&lt;&gt;"","Ecological proxy",IF(S96&lt;&gt;"","Broad","No fallback"))))</x:f>
        <x:v>Ecological proxy</x:v>
      </x:c>
      <x:c r="X96" s="74" t="n">
        <x:f>IF(G96&lt;&gt;"",G96,IF(K96&lt;&gt;"",K96,IF(O96&lt;&gt;"",O96,IF(S96&lt;&gt;"",S96,""))))</x:f>
        <x:v>5</x:v>
      </x:c>
      <x:c r="Y96" s="74" t="n">
        <x:f>IF(X96="","",X96-B96)</x:f>
        <x:v>-0.5599999999999996</x:v>
      </x:c>
      <x:c r="Z96" s="74" t="n">
        <x:f>IF(Y96="","",ABS(Y96))</x:f>
        <x:v>0.5599999999999996</x:v>
      </x:c>
      <x:c r="AA96" s="75" t="n">
        <x:f>IF(Z96="","",Z96/B96*100)</x:f>
        <x:v>10.07194244604316</x:v>
      </x:c>
      <x:c r="AB96" s="73" t="str"/>
    </x:row>
    <x:row r="97" ht="52.79999923706055" hidden="0" customHeight="1">
      <x:c r="A97" s="80" t="str">
        <x:v>Engraulis mordax</x:v>
      </x:c>
      <x:c r="B97" s="74" t="n">
        <x:v>7.85</x:v>
      </x:c>
      <x:c r="C97" s="73" t="str">
        <x:v>Engraulis</x:v>
      </x:c>
      <x:c r="D97" s="73" t="str">
        <x:v>Engraulidae</x:v>
      </x:c>
      <x:c r="E97" s="73" t="str">
        <x:v>Small pelagic forage fishes</x:v>
      </x:c>
      <x:c r="F97" s="73" t="str">
        <x:v>Teleostei</x:v>
      </x:c>
      <x:c r="G97" s="74" t="n">
        <x:v>5.8</x:v>
      </x:c>
      <x:c r="H97" s="74" t="n">
        <x:f>IF(G97="","",G97-B97)</x:f>
        <x:v>-2.05</x:v>
      </x:c>
      <x:c r="I97" s="74" t="n">
        <x:f>IF(H97="","",ABS(H97))</x:f>
        <x:v>2.05</x:v>
      </x:c>
      <x:c r="J97" s="75" t="n">
        <x:f>IF(I97="","",I97/B97*100)</x:f>
        <x:v>26.11464968152866</x:v>
      </x:c>
      <x:c r="K97" s="74" t="n">
        <x:v>5.2</x:v>
      </x:c>
      <x:c r="L97" s="74" t="n">
        <x:f>IF(K97="","",K97-B97)</x:f>
        <x:v>-2.6499999999999995</x:v>
      </x:c>
      <x:c r="M97" s="74" t="n">
        <x:f>IF(L97="","",ABS(L97))</x:f>
        <x:v>2.6499999999999995</x:v>
      </x:c>
      <x:c r="N97" s="75" t="n">
        <x:f>IF(M97="","",M97/B97*100)</x:f>
        <x:v>33.757961783439484</x:v>
      </x:c>
      <x:c r="O97" s="74" t="n">
        <x:v>6.74</x:v>
      </x:c>
      <x:c r="P97" s="74" t="n">
        <x:f>IF(O97="","",O97-B97)</x:f>
        <x:v>-1.1099999999999994</x:v>
      </x:c>
      <x:c r="Q97" s="74" t="n">
        <x:f>IF(P97="","",ABS(P97))</x:f>
        <x:v>1.1099999999999994</x:v>
      </x:c>
      <x:c r="R97" s="75" t="n">
        <x:f>IF(Q97="","",Q97/B97*100)</x:f>
        <x:v>14.140127388535026</x:v>
      </x:c>
      <x:c r="S97" s="74" t="n">
        <x:v>5.6</x:v>
      </x:c>
      <x:c r="T97" s="74" t="n">
        <x:f>IF(S97="","",S97-B97)</x:f>
        <x:v>-2.25</x:v>
      </x:c>
      <x:c r="U97" s="74" t="n">
        <x:f>IF(T97="","",ABS(T97))</x:f>
        <x:v>2.25</x:v>
      </x:c>
      <x:c r="V97" s="75" t="n">
        <x:f>IF(U97="","",U97/B97*100)</x:f>
        <x:v>28.662420382165603</x:v>
      </x:c>
      <x:c r="W97" s="73" t="str">
        <x:f>IF(G97&lt;&gt;"","Genus",IF(K97&lt;&gt;"","Family",IF(O97&lt;&gt;"","Ecological proxy",IF(S97&lt;&gt;"","Broad","No fallback"))))</x:f>
        <x:v>Genus</x:v>
      </x:c>
      <x:c r="X97" s="74" t="n">
        <x:f>IF(G97&lt;&gt;"",G97,IF(K97&lt;&gt;"",K97,IF(O97&lt;&gt;"",O97,IF(S97&lt;&gt;"",S97,""))))</x:f>
        <x:v>5.8</x:v>
      </x:c>
      <x:c r="Y97" s="74" t="n">
        <x:f>IF(X97="","",X97-B97)</x:f>
        <x:v>-2.05</x:v>
      </x:c>
      <x:c r="Z97" s="74" t="n">
        <x:f>IF(Y97="","",ABS(Y97))</x:f>
        <x:v>2.05</x:v>
      </x:c>
      <x:c r="AA97" s="75" t="n">
        <x:f>IF(Z97="","",Z97/B97*100)</x:f>
        <x:v>26.11464968152866</x:v>
      </x:c>
      <x:c r="AB97" s="73" t="str"/>
    </x:row>
    <x:row r="98" ht="52.79999923706055" hidden="0" customHeight="1">
      <x:c r="A98" s="80" t="str">
        <x:v>Sardinops sagax</x:v>
      </x:c>
      <x:c r="B98" s="74" t="n">
        <x:v>6.75</x:v>
      </x:c>
      <x:c r="C98" s="73" t="str">
        <x:v>Sardinops</x:v>
      </x:c>
      <x:c r="D98" s="73" t="str">
        <x:v>Clupeidae</x:v>
      </x:c>
      <x:c r="E98" s="73" t="str">
        <x:v>Small pelagic forage fishes</x:v>
      </x:c>
      <x:c r="F98" s="73" t="str">
        <x:v>Teleostei</x:v>
      </x:c>
      <x:c r="G98" s="74"/>
      <x:c r="H98" s="74" t="str">
        <x:f>IF(G98="","",G98-B98)</x:f>
      </x:c>
      <x:c r="I98" s="74" t="str">
        <x:f>IF(H98="","",ABS(H98))</x:f>
      </x:c>
      <x:c r="J98" s="75" t="str">
        <x:f>IF(I98="","",I98/B98*100)</x:f>
      </x:c>
      <x:c r="K98" s="74" t="n">
        <x:v>6.995</x:v>
      </x:c>
      <x:c r="L98" s="74" t="n">
        <x:f>IF(K98="","",K98-B98)</x:f>
        <x:v>0.2450000000000001</x:v>
      </x:c>
      <x:c r="M98" s="74" t="n">
        <x:f>IF(L98="","",ABS(L98))</x:f>
        <x:v>0.2450000000000001</x:v>
      </x:c>
      <x:c r="N98" s="75" t="n">
        <x:f>IF(M98="","",M98/B98*100)</x:f>
        <x:v>3.629629629629631</x:v>
      </x:c>
      <x:c r="O98" s="74" t="n">
        <x:v>6.74</x:v>
      </x:c>
      <x:c r="P98" s="74" t="n">
        <x:f>IF(O98="","",O98-B98)</x:f>
        <x:v>-0.009999999999999787</x:v>
      </x:c>
      <x:c r="Q98" s="74" t="n">
        <x:f>IF(P98="","",ABS(P98))</x:f>
        <x:v>0.009999999999999787</x:v>
      </x:c>
      <x:c r="R98" s="75" t="n">
        <x:f>IF(Q98="","",Q98/B98*100)</x:f>
        <x:v>0.148148148148145</x:v>
      </x:c>
      <x:c r="S98" s="74" t="n">
        <x:v>5.6</x:v>
      </x:c>
      <x:c r="T98" s="74" t="n">
        <x:f>IF(S98="","",S98-B98)</x:f>
        <x:v>-1.1500000000000004</x:v>
      </x:c>
      <x:c r="U98" s="74" t="n">
        <x:f>IF(T98="","",ABS(T98))</x:f>
        <x:v>1.1500000000000004</x:v>
      </x:c>
      <x:c r="V98" s="75" t="n">
        <x:f>IF(U98="","",U98/B98*100)</x:f>
        <x:v>17.03703703703704</x:v>
      </x:c>
      <x:c r="W98" s="73" t="str">
        <x:f>IF(G98&lt;&gt;"","Genus",IF(K98&lt;&gt;"","Family",IF(O98&lt;&gt;"","Ecological proxy",IF(S98&lt;&gt;"","Broad","No fallback"))))</x:f>
        <x:v>Family</x:v>
      </x:c>
      <x:c r="X98" s="74" t="n">
        <x:f>IF(G98&lt;&gt;"",G98,IF(K98&lt;&gt;"",K98,IF(O98&lt;&gt;"",O98,IF(S98&lt;&gt;"",S98,""))))</x:f>
        <x:v>6.995</x:v>
      </x:c>
      <x:c r="Y98" s="74" t="n">
        <x:f>IF(X98="","",X98-B98)</x:f>
        <x:v>0.2450000000000001</x:v>
      </x:c>
      <x:c r="Z98" s="74" t="n">
        <x:f>IF(Y98="","",ABS(Y98))</x:f>
        <x:v>0.2450000000000001</x:v>
      </x:c>
      <x:c r="AA98" s="75" t="n">
        <x:f>IF(Z98="","",Z98/B98*100)</x:f>
        <x:v>3.629629629629631</x:v>
      </x:c>
      <x:c r="AB98" s="73" t="str"/>
    </x:row>
    <x:row r="99" ht="52.79999923706055" hidden="0" customHeight="1">
      <x:c r="A99" s="80" t="str">
        <x:v>Doryteuthis opalescens</x:v>
      </x:c>
      <x:c r="B99" s="74" t="n">
        <x:v>4.85</x:v>
      </x:c>
      <x:c r="C99" s="73" t="str">
        <x:v>Doryteuthis</x:v>
      </x:c>
      <x:c r="D99" s="73" t="str">
        <x:v>Loliginidae</x:v>
      </x:c>
      <x:c r="E99" s="73" t="str">
        <x:v>Pelagic squids</x:v>
      </x:c>
      <x:c r="F99" s="73" t="str">
        <x:v>Cephalopoda</x:v>
      </x:c>
      <x:c r="G99" s="74" t="n">
        <x:v>5.16</x:v>
      </x:c>
      <x:c r="H99" s="74" t="n">
        <x:f>IF(G99="","",G99-B99)</x:f>
        <x:v>0.3100000000000005</x:v>
      </x:c>
      <x:c r="I99" s="74" t="n">
        <x:f>IF(H99="","",ABS(H99))</x:f>
        <x:v>0.3100000000000005</x:v>
      </x:c>
      <x:c r="J99" s="75" t="n">
        <x:f>IF(I99="","",I99/B99*100)</x:f>
        <x:v>6.391752577319599</x:v>
      </x:c>
      <x:c r="K99" s="74" t="n">
        <x:v>4.699999999999999</x:v>
      </x:c>
      <x:c r="L99" s="74" t="n">
        <x:f>IF(K99="","",K99-B99)</x:f>
        <x:v>-0.15000000000000036</x:v>
      </x:c>
      <x:c r="M99" s="74" t="n">
        <x:f>IF(L99="","",ABS(L99))</x:f>
        <x:v>0.15000000000000036</x:v>
      </x:c>
      <x:c r="N99" s="75" t="n">
        <x:f>IF(M99="","",M99/B99*100)</x:f>
        <x:v>3.0927835051546464</x:v>
      </x:c>
      <x:c r="O99" s="74" t="n">
        <x:v>3.81</x:v>
      </x:c>
      <x:c r="P99" s="74" t="n">
        <x:f>IF(O99="","",O99-B99)</x:f>
        <x:v>-1.0399999999999996</x:v>
      </x:c>
      <x:c r="Q99" s="74" t="n">
        <x:f>IF(P99="","",ABS(P99))</x:f>
        <x:v>1.0399999999999996</x:v>
      </x:c>
      <x:c r="R99" s="75" t="n">
        <x:f>IF(Q99="","",Q99/B99*100)</x:f>
        <x:v>21.44329896907216</x:v>
      </x:c>
      <x:c r="S99" s="74" t="n">
        <x:v>4.65</x:v>
      </x:c>
      <x:c r="T99" s="74" t="n">
        <x:f>IF(S99="","",S99-B99)</x:f>
        <x:v>-0.1999999999999993</x:v>
      </x:c>
      <x:c r="U99" s="74" t="n">
        <x:f>IF(T99="","",ABS(T99))</x:f>
        <x:v>0.1999999999999993</x:v>
      </x:c>
      <x:c r="V99" s="75" t="n">
        <x:f>IF(U99="","",U99/B99*100)</x:f>
        <x:v>4.123711340206171</x:v>
      </x:c>
      <x:c r="W99" s="73" t="str">
        <x:f>IF(G99&lt;&gt;"","Genus",IF(K99&lt;&gt;"","Family",IF(O99&lt;&gt;"","Ecological proxy",IF(S99&lt;&gt;"","Broad","No fallback"))))</x:f>
        <x:v>Genus</x:v>
      </x:c>
      <x:c r="X99" s="74" t="n">
        <x:f>IF(G99&lt;&gt;"",G99,IF(K99&lt;&gt;"",K99,IF(O99&lt;&gt;"",O99,IF(S99&lt;&gt;"",S99,""))))</x:f>
        <x:v>5.16</x:v>
      </x:c>
      <x:c r="Y99" s="74" t="n">
        <x:f>IF(X99="","",X99-B99)</x:f>
        <x:v>0.3100000000000005</x:v>
      </x:c>
      <x:c r="Z99" s="74" t="n">
        <x:f>IF(Y99="","",ABS(Y99))</x:f>
        <x:v>0.3100000000000005</x:v>
      </x:c>
      <x:c r="AA99" s="75" t="n">
        <x:f>IF(Z99="","",Z99/B99*100)</x:f>
        <x:v>6.391752577319599</x:v>
      </x:c>
      <x:c r="AB99" s="73" t="str"/>
    </x:row>
    <x:row r="100" ht="52.79999923706055" hidden="0" customHeight="1">
      <x:c r="A100" s="80" t="str">
        <x:v>Alosa pseudoharengus</x:v>
      </x:c>
      <x:c r="B100" s="74" t="n">
        <x:v>6.99</x:v>
      </x:c>
      <x:c r="C100" s="73" t="str">
        <x:v>Alosa</x:v>
      </x:c>
      <x:c r="D100" s="73" t="str">
        <x:v>Clupeidae</x:v>
      </x:c>
      <x:c r="E100" s="73" t="str">
        <x:v>Small pelagic forage fishes</x:v>
      </x:c>
      <x:c r="F100" s="73" t="str">
        <x:v>Teleostei</x:v>
      </x:c>
      <x:c r="G100" s="74"/>
      <x:c r="H100" s="74" t="str">
        <x:f>IF(G100="","",G100-B100)</x:f>
      </x:c>
      <x:c r="I100" s="74" t="str">
        <x:f>IF(H100="","",ABS(H100))</x:f>
      </x:c>
      <x:c r="J100" s="75" t="str">
        <x:f>IF(I100="","",I100/B100*100)</x:f>
      </x:c>
      <x:c r="K100" s="74" t="n">
        <x:v>6.875</x:v>
      </x:c>
      <x:c r="L100" s="74" t="n">
        <x:f>IF(K100="","",K100-B100)</x:f>
        <x:v>-0.11500000000000021</x:v>
      </x:c>
      <x:c r="M100" s="74" t="n">
        <x:f>IF(L100="","",ABS(L100))</x:f>
        <x:v>0.11500000000000021</x:v>
      </x:c>
      <x:c r="N100" s="75" t="n">
        <x:f>IF(M100="","",M100/B100*100)</x:f>
        <x:v>1.6452074391988585</x:v>
      </x:c>
      <x:c r="O100" s="74" t="n">
        <x:v>6.74</x:v>
      </x:c>
      <x:c r="P100" s="74" t="n">
        <x:f>IF(O100="","",O100-B100)</x:f>
        <x:v>-0.25</x:v>
      </x:c>
      <x:c r="Q100" s="74" t="n">
        <x:f>IF(P100="","",ABS(P100))</x:f>
        <x:v>0.25</x:v>
      </x:c>
      <x:c r="R100" s="75" t="n">
        <x:f>IF(Q100="","",Q100/B100*100)</x:f>
        <x:v>3.5765379113018594</x:v>
      </x:c>
      <x:c r="S100" s="74" t="n">
        <x:v>5.6</x:v>
      </x:c>
      <x:c r="T100" s="74" t="n">
        <x:f>IF(S100="","",S100-B100)</x:f>
        <x:v>-1.3900000000000006</x:v>
      </x:c>
      <x:c r="U100" s="74" t="n">
        <x:f>IF(T100="","",ABS(T100))</x:f>
        <x:v>1.3900000000000006</x:v>
      </x:c>
      <x:c r="V100" s="75" t="n">
        <x:f>IF(U100="","",U100/B100*100)</x:f>
        <x:v>19.885550786838348</x:v>
      </x:c>
      <x:c r="W100" s="73" t="str">
        <x:f>IF(G100&lt;&gt;"","Genus",IF(K100&lt;&gt;"","Family",IF(O100&lt;&gt;"","Ecological proxy",IF(S100&lt;&gt;"","Broad","No fallback"))))</x:f>
        <x:v>Family</x:v>
      </x:c>
      <x:c r="X100" s="74" t="n">
        <x:f>IF(G100&lt;&gt;"",G100,IF(K100&lt;&gt;"",K100,IF(O100&lt;&gt;"",O100,IF(S100&lt;&gt;"",S100,""))))</x:f>
        <x:v>6.875</x:v>
      </x:c>
      <x:c r="Y100" s="74" t="n">
        <x:f>IF(X100="","",X100-B100)</x:f>
        <x:v>-0.11500000000000021</x:v>
      </x:c>
      <x:c r="Z100" s="74" t="n">
        <x:f>IF(Y100="","",ABS(Y100))</x:f>
        <x:v>0.11500000000000021</x:v>
      </x:c>
      <x:c r="AA100" s="75" t="n">
        <x:f>IF(Z100="","",Z100/B100*100)</x:f>
        <x:v>1.6452074391988585</x:v>
      </x:c>
      <x:c r="AB100" s="73" t="str"/>
    </x:row>
    <x:row r="101" ht="39.599998474121094" hidden="0" customHeight="1">
      <x:c r="A101" s="80" t="str">
        <x:v>Merluccius bilinearis</x:v>
      </x:c>
      <x:c r="B101" s="74" t="n">
        <x:v>4.28</x:v>
      </x:c>
      <x:c r="C101" s="73" t="str">
        <x:v>Merluccius</x:v>
      </x:c>
      <x:c r="D101" s="73" t="str">
        <x:v>Merlucciidae</x:v>
      </x:c>
      <x:c r="E101" s="73" t="str">
        <x:v>Other demersal fishes</x:v>
      </x:c>
      <x:c r="F101" s="73" t="str">
        <x:v>Teleostei</x:v>
      </x:c>
      <x:c r="G101" s="74" t="n">
        <x:v>3.7</x:v>
      </x:c>
      <x:c r="H101" s="74" t="n">
        <x:f>IF(G101="","",G101-B101)</x:f>
        <x:v>-0.5800000000000001</x:v>
      </x:c>
      <x:c r="I101" s="74" t="n">
        <x:f>IF(H101="","",ABS(H101))</x:f>
        <x:v>0.5800000000000001</x:v>
      </x:c>
      <x:c r="J101" s="75" t="n">
        <x:f>IF(I101="","",I101/B101*100)</x:f>
        <x:v>13.55140186915888</x:v>
      </x:c>
      <x:c r="K101" s="74" t="n">
        <x:v>3.7</x:v>
      </x:c>
      <x:c r="L101" s="74" t="n">
        <x:f>IF(K101="","",K101-B101)</x:f>
        <x:v>-0.5800000000000001</x:v>
      </x:c>
      <x:c r="M101" s="74" t="n">
        <x:f>IF(L101="","",ABS(L101))</x:f>
        <x:v>0.5800000000000001</x:v>
      </x:c>
      <x:c r="N101" s="75" t="n">
        <x:f>IF(M101="","",M101/B101*100)</x:f>
        <x:v>13.55140186915888</x:v>
      </x:c>
      <x:c r="O101" s="74" t="n">
        <x:v>5.02</x:v>
      </x:c>
      <x:c r="P101" s="74" t="n">
        <x:f>IF(O101="","",O101-B101)</x:f>
        <x:v>0.7399999999999993</x:v>
      </x:c>
      <x:c r="Q101" s="74" t="n">
        <x:f>IF(P101="","",ABS(P101))</x:f>
        <x:v>0.7399999999999993</x:v>
      </x:c>
      <x:c r="R101" s="75" t="n">
        <x:f>IF(Q101="","",Q101/B101*100)</x:f>
        <x:v>17.289719626168207</x:v>
      </x:c>
      <x:c r="S101" s="74" t="n">
        <x:v>5.64</x:v>
      </x:c>
      <x:c r="T101" s="74" t="n">
        <x:f>IF(S101="","",S101-B101)</x:f>
        <x:v>1.3599999999999994</x:v>
      </x:c>
      <x:c r="U101" s="74" t="n">
        <x:f>IF(T101="","",ABS(T101))</x:f>
        <x:v>1.3599999999999994</x:v>
      </x:c>
      <x:c r="V101" s="75" t="n">
        <x:f>IF(U101="","",U101/B101*100)</x:f>
        <x:v>31.775700934579426</x:v>
      </x:c>
      <x:c r="W101" s="73" t="str">
        <x:f>IF(G101&lt;&gt;"","Genus",IF(K101&lt;&gt;"","Family",IF(O101&lt;&gt;"","Ecological proxy",IF(S101&lt;&gt;"","Broad","No fallback"))))</x:f>
        <x:v>Genus</x:v>
      </x:c>
      <x:c r="X101" s="74" t="n">
        <x:f>IF(G101&lt;&gt;"",G101,IF(K101&lt;&gt;"",K101,IF(O101&lt;&gt;"",O101,IF(S101&lt;&gt;"",S101,""))))</x:f>
        <x:v>3.7</x:v>
      </x:c>
      <x:c r="Y101" s="74" t="n">
        <x:f>IF(X101="","",X101-B101)</x:f>
        <x:v>-0.5800000000000001</x:v>
      </x:c>
      <x:c r="Z101" s="74" t="n">
        <x:f>IF(Y101="","",ABS(Y101))</x:f>
        <x:v>0.5800000000000001</x:v>
      </x:c>
      <x:c r="AA101" s="75" t="n">
        <x:f>IF(Z101="","",Z101/B101*100)</x:f>
        <x:v>13.55140186915888</x:v>
      </x:c>
      <x:c r="AB101" s="73" t="str"/>
    </x:row>
    <x:row r="102" ht="52.79999923706055" hidden="0" customHeight="1">
      <x:c r="A102" s="80" t="str">
        <x:v>Ammodytes dubius</x:v>
      </x:c>
      <x:c r="B102" s="74" t="n">
        <x:v>6</x:v>
      </x:c>
      <x:c r="C102" s="73" t="str">
        <x:v>Ammodytes</x:v>
      </x:c>
      <x:c r="D102" s="73" t="str">
        <x:v>Ammodytidae</x:v>
      </x:c>
      <x:c r="E102" s="73" t="str">
        <x:v>Small pelagic forage fishes</x:v>
      </x:c>
      <x:c r="F102" s="73" t="str">
        <x:v>Teleostei</x:v>
      </x:c>
      <x:c r="G102" s="74" t="n">
        <x:v>5.375</x:v>
      </x:c>
      <x:c r="H102" s="74" t="n">
        <x:f>IF(G102="","",G102-B102)</x:f>
        <x:v>-0.625</x:v>
      </x:c>
      <x:c r="I102" s="74" t="n">
        <x:f>IF(H102="","",ABS(H102))</x:f>
        <x:v>0.625</x:v>
      </x:c>
      <x:c r="J102" s="75" t="n">
        <x:f>IF(I102="","",I102/B102*100)</x:f>
        <x:v>10.416666666666668</x:v>
      </x:c>
      <x:c r="K102" s="74" t="n">
        <x:v>4.95</x:v>
      </x:c>
      <x:c r="L102" s="74" t="n">
        <x:f>IF(K102="","",K102-B102)</x:f>
        <x:v>-1.0499999999999998</x:v>
      </x:c>
      <x:c r="M102" s="74" t="n">
        <x:f>IF(L102="","",ABS(L102))</x:f>
        <x:v>1.0499999999999998</x:v>
      </x:c>
      <x:c r="N102" s="75" t="n">
        <x:f>IF(M102="","",M102/B102*100)</x:f>
        <x:v>17.499999999999996</x:v>
      </x:c>
      <x:c r="O102" s="74" t="n">
        <x:v>6.75</x:v>
      </x:c>
      <x:c r="P102" s="74" t="n">
        <x:f>IF(O102="","",O102-B102)</x:f>
        <x:v>0.75</x:v>
      </x:c>
      <x:c r="Q102" s="74" t="n">
        <x:f>IF(P102="","",ABS(P102))</x:f>
        <x:v>0.75</x:v>
      </x:c>
      <x:c r="R102" s="75" t="n">
        <x:f>IF(Q102="","",Q102/B102*100)</x:f>
        <x:v>12.5</x:v>
      </x:c>
      <x:c r="S102" s="74" t="n">
        <x:v>5.6</x:v>
      </x:c>
      <x:c r="T102" s="74" t="n">
        <x:f>IF(S102="","",S102-B102)</x:f>
        <x:v>-0.40000000000000036</x:v>
      </x:c>
      <x:c r="U102" s="74" t="n">
        <x:f>IF(T102="","",ABS(T102))</x:f>
        <x:v>0.40000000000000036</x:v>
      </x:c>
      <x:c r="V102" s="75" t="n">
        <x:f>IF(U102="","",U102/B102*100)</x:f>
        <x:v>6.666666666666672</x:v>
      </x:c>
      <x:c r="W102" s="73" t="str">
        <x:f>IF(G102&lt;&gt;"","Genus",IF(K102&lt;&gt;"","Family",IF(O102&lt;&gt;"","Ecological proxy",IF(S102&lt;&gt;"","Broad","No fallback"))))</x:f>
        <x:v>Genus</x:v>
      </x:c>
      <x:c r="X102" s="74" t="n">
        <x:f>IF(G102&lt;&gt;"",G102,IF(K102&lt;&gt;"",K102,IF(O102&lt;&gt;"",O102,IF(S102&lt;&gt;"",S102,""))))</x:f>
        <x:v>5.375</x:v>
      </x:c>
      <x:c r="Y102" s="74" t="n">
        <x:f>IF(X102="","",X102-B102)</x:f>
        <x:v>-0.625</x:v>
      </x:c>
      <x:c r="Z102" s="74" t="n">
        <x:f>IF(Y102="","",ABS(Y102))</x:f>
        <x:v>0.625</x:v>
      </x:c>
      <x:c r="AA102" s="75" t="n">
        <x:f>IF(Z102="","",Z102/B102*100)</x:f>
        <x:v>10.416666666666668</x:v>
      </x:c>
      <x:c r="AB102" s="73" t="str"/>
    </x:row>
    <x:row r="103" ht="52.79999923706055" hidden="0" customHeight="1">
      <x:c r="A103" s="80" t="str">
        <x:v>Peprilus triacanthus</x:v>
      </x:c>
      <x:c r="B103" s="74" t="n">
        <x:v>6.74</x:v>
      </x:c>
      <x:c r="C103" s="73" t="str">
        <x:v>Peprilus</x:v>
      </x:c>
      <x:c r="D103" s="73" t="str">
        <x:v>Stromateidae</x:v>
      </x:c>
      <x:c r="E103" s="73" t="str">
        <x:v>Small pelagic forage fishes</x:v>
      </x:c>
      <x:c r="F103" s="73" t="str">
        <x:v>Teleostei</x:v>
      </x:c>
      <x:c r="G103" s="74"/>
      <x:c r="H103" s="74" t="str">
        <x:f>IF(G103="","",G103-B103)</x:f>
      </x:c>
      <x:c r="I103" s="74" t="str">
        <x:f>IF(H103="","",ABS(H103))</x:f>
      </x:c>
      <x:c r="J103" s="75" t="str">
        <x:f>IF(I103="","",I103/B103*100)</x:f>
      </x:c>
      <x:c r="K103" s="74"/>
      <x:c r="L103" s="74" t="str">
        <x:f>IF(K103="","",K103-B103)</x:f>
      </x:c>
      <x:c r="M103" s="74" t="str">
        <x:f>IF(L103="","",ABS(L103))</x:f>
      </x:c>
      <x:c r="N103" s="75" t="str">
        <x:f>IF(M103="","",M103/B103*100)</x:f>
      </x:c>
      <x:c r="O103" s="74" t="n">
        <x:v>6.75</x:v>
      </x:c>
      <x:c r="P103" s="74" t="n">
        <x:f>IF(O103="","",O103-B103)</x:f>
        <x:v>0.009999999999999787</x:v>
      </x:c>
      <x:c r="Q103" s="74" t="n">
        <x:f>IF(P103="","",ABS(P103))</x:f>
        <x:v>0.009999999999999787</x:v>
      </x:c>
      <x:c r="R103" s="75" t="n">
        <x:f>IF(Q103="","",Q103/B103*100)</x:f>
        <x:v>0.14836795252225204</x:v>
      </x:c>
      <x:c r="S103" s="74" t="n">
        <x:v>5.6</x:v>
      </x:c>
      <x:c r="T103" s="74" t="n">
        <x:f>IF(S103="","",S103-B103)</x:f>
        <x:v>-1.1400000000000006</x:v>
      </x:c>
      <x:c r="U103" s="74" t="n">
        <x:f>IF(T103="","",ABS(T103))</x:f>
        <x:v>1.1400000000000006</x:v>
      </x:c>
      <x:c r="V103" s="75" t="n">
        <x:f>IF(U103="","",U103/B103*100)</x:f>
        <x:v>16.913946587537097</x:v>
      </x:c>
      <x:c r="W103" s="73" t="str">
        <x:f>IF(G103&lt;&gt;"","Genus",IF(K103&lt;&gt;"","Family",IF(O103&lt;&gt;"","Ecological proxy",IF(S103&lt;&gt;"","Broad","No fallback"))))</x:f>
        <x:v>Ecological proxy</x:v>
      </x:c>
      <x:c r="X103" s="74" t="n">
        <x:f>IF(G103&lt;&gt;"",G103,IF(K103&lt;&gt;"",K103,IF(O103&lt;&gt;"",O103,IF(S103&lt;&gt;"",S103,""))))</x:f>
        <x:v>6.75</x:v>
      </x:c>
      <x:c r="Y103" s="74" t="n">
        <x:f>IF(X103="","",X103-B103)</x:f>
        <x:v>0.009999999999999787</x:v>
      </x:c>
      <x:c r="Z103" s="74" t="n">
        <x:f>IF(Y103="","",ABS(Y103))</x:f>
        <x:v>0.009999999999999787</x:v>
      </x:c>
      <x:c r="AA103" s="75" t="n">
        <x:f>IF(Z103="","",Z103/B103*100)</x:f>
        <x:v>0.14836795252225204</x:v>
      </x:c>
      <x:c r="AB103" s="73" t="str"/>
    </x:row>
    <x:row r="104" ht="39.599998474121094" hidden="0" customHeight="1">
      <x:c r="A104" s="80" t="str">
        <x:v>Illex illecebrosus</x:v>
      </x:c>
      <x:c r="B104" s="74" t="n">
        <x:v>5.45</x:v>
      </x:c>
      <x:c r="C104" s="73" t="str">
        <x:v>Illex</x:v>
      </x:c>
      <x:c r="D104" s="73" t="str">
        <x:v>Ommastrephidae</x:v>
      </x:c>
      <x:c r="E104" s="73" t="str">
        <x:v>Pelagic squids</x:v>
      </x:c>
      <x:c r="F104" s="73" t="str">
        <x:v>Cephalopoda</x:v>
      </x:c>
      <x:c r="G104" s="74" t="n">
        <x:v>4.3</x:v>
      </x:c>
      <x:c r="H104" s="74" t="n">
        <x:f>IF(G104="","",G104-B104)</x:f>
        <x:v>-1.1500000000000004</x:v>
      </x:c>
      <x:c r="I104" s="74" t="n">
        <x:f>IF(H104="","",ABS(H104))</x:f>
        <x:v>1.1500000000000004</x:v>
      </x:c>
      <x:c r="J104" s="75" t="n">
        <x:f>IF(I104="","",I104/B104*100)</x:f>
        <x:v>21.100917431192666</x:v>
      </x:c>
      <x:c r="K104" s="74" t="n">
        <x:v>4.35</x:v>
      </x:c>
      <x:c r="L104" s="74" t="n">
        <x:f>IF(K104="","",K104-B104)</x:f>
        <x:v>-1.1000000000000005</x:v>
      </x:c>
      <x:c r="M104" s="74" t="n">
        <x:f>IF(L104="","",ABS(L104))</x:f>
        <x:v>1.1000000000000005</x:v>
      </x:c>
      <x:c r="N104" s="75" t="n">
        <x:f>IF(M104="","",M104/B104*100)</x:f>
        <x:v>20.18348623853212</x:v>
      </x:c>
      <x:c r="O104" s="74" t="n">
        <x:v>3.81</x:v>
      </x:c>
      <x:c r="P104" s="74" t="n">
        <x:f>IF(O104="","",O104-B104)</x:f>
        <x:v>-1.6400000000000001</x:v>
      </x:c>
      <x:c r="Q104" s="74" t="n">
        <x:f>IF(P104="","",ABS(P104))</x:f>
        <x:v>1.6400000000000001</x:v>
      </x:c>
      <x:c r="R104" s="75" t="n">
        <x:f>IF(Q104="","",Q104/B104*100)</x:f>
        <x:v>30.091743119266056</x:v>
      </x:c>
      <x:c r="S104" s="74" t="n">
        <x:v>4.65</x:v>
      </x:c>
      <x:c r="T104" s="74" t="n">
        <x:f>IF(S104="","",S104-B104)</x:f>
        <x:v>-0.7999999999999998</x:v>
      </x:c>
      <x:c r="U104" s="74" t="n">
        <x:f>IF(T104="","",ABS(T104))</x:f>
        <x:v>0.7999999999999998</x:v>
      </x:c>
      <x:c r="V104" s="75" t="n">
        <x:f>IF(U104="","",U104/B104*100)</x:f>
        <x:v>14.678899082568803</x:v>
      </x:c>
      <x:c r="W104" s="73" t="str">
        <x:f>IF(G104&lt;&gt;"","Genus",IF(K104&lt;&gt;"","Family",IF(O104&lt;&gt;"","Ecological proxy",IF(S104&lt;&gt;"","Broad","No fallback"))))</x:f>
        <x:v>Genus</x:v>
      </x:c>
      <x:c r="X104" s="74" t="n">
        <x:f>IF(G104&lt;&gt;"",G104,IF(K104&lt;&gt;"",K104,IF(O104&lt;&gt;"",O104,IF(S104&lt;&gt;"",S104,""))))</x:f>
        <x:v>4.3</x:v>
      </x:c>
      <x:c r="Y104" s="74" t="n">
        <x:f>IF(X104="","",X104-B104)</x:f>
        <x:v>-1.1500000000000004</x:v>
      </x:c>
      <x:c r="Z104" s="74" t="n">
        <x:f>IF(Y104="","",ABS(Y104))</x:f>
        <x:v>1.1500000000000004</x:v>
      </x:c>
      <x:c r="AA104" s="75" t="n">
        <x:f>IF(Z104="","",Z104/B104*100)</x:f>
        <x:v>21.100917431192666</x:v>
      </x:c>
      <x:c r="AB104" s="73" t="str"/>
    </x:row>
    <x:row r="105" ht="26.399999618530273" hidden="0" customHeight="1">
      <x:c r="A105" s="80" t="str">
        <x:v>Doryteuthis pealeii</x:v>
      </x:c>
      <x:c r="B105" s="74" t="n">
        <x:v>5.16</x:v>
      </x:c>
      <x:c r="C105" s="73" t="str">
        <x:v>Doryteuthis</x:v>
      </x:c>
      <x:c r="D105" s="73" t="str">
        <x:v>Loliginidae</x:v>
      </x:c>
      <x:c r="E105" s="73" t="str">
        <x:v>Pelagic squids</x:v>
      </x:c>
      <x:c r="F105" s="73" t="str">
        <x:v>Cephalopoda</x:v>
      </x:c>
      <x:c r="G105" s="74" t="n">
        <x:v>4.85</x:v>
      </x:c>
      <x:c r="H105" s="74" t="n">
        <x:f>IF(G105="","",G105-B105)</x:f>
        <x:v>-0.3100000000000005</x:v>
      </x:c>
      <x:c r="I105" s="74" t="n">
        <x:f>IF(H105="","",ABS(H105))</x:f>
        <x:v>0.3100000000000005</x:v>
      </x:c>
      <x:c r="J105" s="75" t="n">
        <x:f>IF(I105="","",I105/B105*100)</x:f>
        <x:v>6.007751937984505</x:v>
      </x:c>
      <x:c r="K105" s="74" t="n">
        <x:v>4.699999999999999</x:v>
      </x:c>
      <x:c r="L105" s="74" t="n">
        <x:f>IF(K105="","",K105-B105)</x:f>
        <x:v>-0.46000000000000085</x:v>
      </x:c>
      <x:c r="M105" s="74" t="n">
        <x:f>IF(L105="","",ABS(L105))</x:f>
        <x:v>0.46000000000000085</x:v>
      </x:c>
      <x:c r="N105" s="75" t="n">
        <x:f>IF(M105="","",M105/B105*100)</x:f>
        <x:v>8.914728682170558</x:v>
      </x:c>
      <x:c r="O105" s="74" t="n">
        <x:v>3.81</x:v>
      </x:c>
      <x:c r="P105" s="74" t="n">
        <x:f>IF(O105="","",O105-B105)</x:f>
        <x:v>-1.35</x:v>
      </x:c>
      <x:c r="Q105" s="74" t="n">
        <x:f>IF(P105="","",ABS(P105))</x:f>
        <x:v>1.35</x:v>
      </x:c>
      <x:c r="R105" s="75" t="n">
        <x:f>IF(Q105="","",Q105/B105*100)</x:f>
        <x:v>26.16279069767442</x:v>
      </x:c>
      <x:c r="S105" s="74" t="n">
        <x:v>4.65</x:v>
      </x:c>
      <x:c r="T105" s="74" t="n">
        <x:f>IF(S105="","",S105-B105)</x:f>
        <x:v>-0.5099999999999998</x:v>
      </x:c>
      <x:c r="U105" s="74" t="n">
        <x:f>IF(T105="","",ABS(T105))</x:f>
        <x:v>0.5099999999999998</x:v>
      </x:c>
      <x:c r="V105" s="75" t="n">
        <x:f>IF(U105="","",U105/B105*100)</x:f>
        <x:v>9.883720930232553</x:v>
      </x:c>
      <x:c r="W105" s="73" t="str">
        <x:f>IF(G105&lt;&gt;"","Genus",IF(K105&lt;&gt;"","Family",IF(O105&lt;&gt;"","Ecological proxy",IF(S105&lt;&gt;"","Broad","No fallback"))))</x:f>
        <x:v>Genus</x:v>
      </x:c>
      <x:c r="X105" s="74" t="n">
        <x:f>IF(G105&lt;&gt;"",G105,IF(K105&lt;&gt;"",K105,IF(O105&lt;&gt;"",O105,IF(S105&lt;&gt;"",S105,""))))</x:f>
        <x:v>4.85</x:v>
      </x:c>
      <x:c r="Y105" s="74" t="n">
        <x:f>IF(X105="","",X105-B105)</x:f>
        <x:v>-0.3100000000000005</x:v>
      </x:c>
      <x:c r="Z105" s="74" t="n">
        <x:f>IF(Y105="","",ABS(Y105))</x:f>
        <x:v>0.3100000000000005</x:v>
      </x:c>
      <x:c r="AA105" s="75" t="n">
        <x:f>IF(Z105="","",Z105/B105*100)</x:f>
        <x:v>6.007751937984505</x:v>
      </x:c>
      <x:c r="AB105" s="73" t="str"/>
    </x:row>
    <x:row r="106" ht="39.599998474121094" hidden="0" customHeight="1">
      <x:c r="A106" s="80" t="str">
        <x:v>Pomatomus saltatrix</x:v>
      </x:c>
      <x:c r="B106" s="74" t="n">
        <x:v>7.06</x:v>
      </x:c>
      <x:c r="C106" s="73" t="str">
        <x:v>Pomatomus</x:v>
      </x:c>
      <x:c r="D106" s="73" t="str">
        <x:v>Pomatomidae</x:v>
      </x:c>
      <x:c r="E106" s="73" t="str">
        <x:v>Pelagic predatory fishes</x:v>
      </x:c>
      <x:c r="F106" s="73" t="str">
        <x:v>Teleostei</x:v>
      </x:c>
      <x:c r="G106" s="74"/>
      <x:c r="H106" s="74" t="str">
        <x:f>IF(G106="","",G106-B106)</x:f>
      </x:c>
      <x:c r="I106" s="74" t="str">
        <x:f>IF(H106="","",ABS(H106))</x:f>
      </x:c>
      <x:c r="J106" s="75" t="str">
        <x:f>IF(I106="","",I106/B106*100)</x:f>
      </x:c>
      <x:c r="K106" s="74"/>
      <x:c r="L106" s="74" t="str">
        <x:f>IF(K106="","",K106-B106)</x:f>
      </x:c>
      <x:c r="M106" s="74" t="str">
        <x:f>IF(L106="","",ABS(L106))</x:f>
      </x:c>
      <x:c r="N106" s="75" t="str">
        <x:f>IF(M106="","",M106/B106*100)</x:f>
      </x:c>
      <x:c r="O106" s="74"/>
      <x:c r="P106" s="74" t="str">
        <x:f>IF(O106="","",O106-B106)</x:f>
      </x:c>
      <x:c r="Q106" s="74" t="str">
        <x:f>IF(P106="","",ABS(P106))</x:f>
      </x:c>
      <x:c r="R106" s="75" t="str">
        <x:f>IF(Q106="","",Q106/B106*100)</x:f>
      </x:c>
      <x:c r="S106" s="74" t="n">
        <x:v>5.6</x:v>
      </x:c>
      <x:c r="T106" s="74" t="n">
        <x:f>IF(S106="","",S106-B106)</x:f>
        <x:v>-1.46</x:v>
      </x:c>
      <x:c r="U106" s="74" t="n">
        <x:f>IF(T106="","",ABS(T106))</x:f>
        <x:v>1.46</x:v>
      </x:c>
      <x:c r="V106" s="75" t="n">
        <x:f>IF(U106="","",U106/B106*100)</x:f>
        <x:v>20.67988668555241</x:v>
      </x:c>
      <x:c r="W106" s="73" t="str">
        <x:f>IF(G106&lt;&gt;"","Genus",IF(K106&lt;&gt;"","Family",IF(O106&lt;&gt;"","Ecological proxy",IF(S106&lt;&gt;"","Broad","No fallback"))))</x:f>
        <x:v>Broad</x:v>
      </x:c>
      <x:c r="X106" s="74" t="n">
        <x:f>IF(G106&lt;&gt;"",G106,IF(K106&lt;&gt;"",K106,IF(O106&lt;&gt;"",O106,IF(S106&lt;&gt;"",S106,""))))</x:f>
        <x:v>5.6</x:v>
      </x:c>
      <x:c r="Y106" s="74" t="n">
        <x:f>IF(X106="","",X106-B106)</x:f>
        <x:v>-1.46</x:v>
      </x:c>
      <x:c r="Z106" s="74" t="n">
        <x:f>IF(Y106="","",ABS(Y106))</x:f>
        <x:v>1.46</x:v>
      </x:c>
      <x:c r="AA106" s="75" t="n">
        <x:f>IF(Z106="","",Z106/B106*100)</x:f>
        <x:v>20.67988668555241</x:v>
      </x:c>
      <x:c r="AB106" s="73" t="str"/>
    </x:row>
    <x:row r="107" ht="52.79999923706055" hidden="0" customHeight="1">
      <x:c r="A107" s="80" t="str">
        <x:v>Trachurus novaezelandiae</x:v>
      </x:c>
      <x:c r="B107" s="74" t="n">
        <x:v>5.78</x:v>
      </x:c>
      <x:c r="C107" s="73" t="str">
        <x:v>Trachurus</x:v>
      </x:c>
      <x:c r="D107" s="73" t="str">
        <x:v>Carangidae</x:v>
      </x:c>
      <x:c r="E107" s="73" t="str">
        <x:v>Small pelagic forage fishes</x:v>
      </x:c>
      <x:c r="F107" s="73" t="str">
        <x:v>Teleostei</x:v>
      </x:c>
      <x:c r="G107" s="74" t="n">
        <x:v>6</x:v>
      </x:c>
      <x:c r="H107" s="74" t="n">
        <x:f>IF(G107="","",G107-B107)</x:f>
        <x:v>0.21999999999999975</x:v>
      </x:c>
      <x:c r="I107" s="74" t="n">
        <x:f>IF(H107="","",ABS(H107))</x:f>
        <x:v>0.21999999999999975</x:v>
      </x:c>
      <x:c r="J107" s="75" t="n">
        <x:f>IF(I107="","",I107/B107*100)</x:f>
        <x:v>3.806228373702418</x:v>
      </x:c>
      <x:c r="K107" s="74" t="n">
        <x:v>6</x:v>
      </x:c>
      <x:c r="L107" s="74" t="n">
        <x:f>IF(K107="","",K107-B107)</x:f>
        <x:v>0.21999999999999975</x:v>
      </x:c>
      <x:c r="M107" s="74" t="n">
        <x:f>IF(L107="","",ABS(L107))</x:f>
        <x:v>0.21999999999999975</x:v>
      </x:c>
      <x:c r="N107" s="75" t="n">
        <x:f>IF(M107="","",M107/B107*100)</x:f>
        <x:v>3.806228373702418</x:v>
      </x:c>
      <x:c r="O107" s="74" t="n">
        <x:v>6.75</x:v>
      </x:c>
      <x:c r="P107" s="74" t="n">
        <x:f>IF(O107="","",O107-B107)</x:f>
        <x:v>0.9699999999999998</x:v>
      </x:c>
      <x:c r="Q107" s="74" t="n">
        <x:f>IF(P107="","",ABS(P107))</x:f>
        <x:v>0.9699999999999998</x:v>
      </x:c>
      <x:c r="R107" s="75" t="n">
        <x:f>IF(Q107="","",Q107/B107*100)</x:f>
        <x:v>16.78200692041522</x:v>
      </x:c>
      <x:c r="S107" s="74" t="n">
        <x:v>5.6</x:v>
      </x:c>
      <x:c r="T107" s="74" t="n">
        <x:f>IF(S107="","",S107-B107)</x:f>
        <x:v>-0.1800000000000006</x:v>
      </x:c>
      <x:c r="U107" s="74" t="n">
        <x:f>IF(T107="","",ABS(T107))</x:f>
        <x:v>0.1800000000000006</x:v>
      </x:c>
      <x:c r="V107" s="75" t="n">
        <x:f>IF(U107="","",U107/B107*100)</x:f>
        <x:v>3.114186851211083</x:v>
      </x:c>
      <x:c r="W107" s="73" t="str">
        <x:f>IF(G107&lt;&gt;"","Genus",IF(K107&lt;&gt;"","Family",IF(O107&lt;&gt;"","Ecological proxy",IF(S107&lt;&gt;"","Broad","No fallback"))))</x:f>
        <x:v>Genus</x:v>
      </x:c>
      <x:c r="X107" s="74" t="n">
        <x:f>IF(G107&lt;&gt;"",G107,IF(K107&lt;&gt;"",K107,IF(O107&lt;&gt;"",O107,IF(S107&lt;&gt;"",S107,""))))</x:f>
        <x:v>6</x:v>
      </x:c>
      <x:c r="Y107" s="74" t="n">
        <x:f>IF(X107="","",X107-B107)</x:f>
        <x:v>0.21999999999999975</x:v>
      </x:c>
      <x:c r="Z107" s="74" t="n">
        <x:f>IF(Y107="","",ABS(Y107))</x:f>
        <x:v>0.21999999999999975</x:v>
      </x:c>
      <x:c r="AA107" s="75" t="n">
        <x:f>IF(Z107="","",Z107/B107*100)</x:f>
        <x:v>3.806228373702418</x:v>
      </x:c>
      <x:c r="AB107" s="73" t="str"/>
    </x:row>
    <x:row r="108" ht="39.599998474121094" hidden="0" customHeight="1">
      <x:c r="A108" s="80" t="str">
        <x:v>Acanthopagrus australis</x:v>
      </x:c>
      <x:c r="B108" s="74" t="n">
        <x:v>5.75</x:v>
      </x:c>
      <x:c r="C108" s="73" t="str">
        <x:v>Acanthopagrus</x:v>
      </x:c>
      <x:c r="D108" s="73" t="str">
        <x:v>Sparidae</x:v>
      </x:c>
      <x:c r="E108" s="73" t="str">
        <x:v>Other demersal fishes</x:v>
      </x:c>
      <x:c r="F108" s="73" t="str">
        <x:v>Teleostei</x:v>
      </x:c>
      <x:c r="G108" s="74" t="n">
        <x:v>5.97</x:v>
      </x:c>
      <x:c r="H108" s="74" t="n">
        <x:f>IF(G108="","",G108-B108)</x:f>
        <x:v>0.21999999999999975</x:v>
      </x:c>
      <x:c r="I108" s="74" t="n">
        <x:f>IF(H108="","",ABS(H108))</x:f>
        <x:v>0.21999999999999975</x:v>
      </x:c>
      <x:c r="J108" s="75" t="n">
        <x:f>IF(I108="","",I108/B108*100)</x:f>
        <x:v>3.826086956521735</x:v>
      </x:c>
      <x:c r="K108" s="74" t="n">
        <x:v>7.45</x:v>
      </x:c>
      <x:c r="L108" s="74" t="n">
        <x:f>IF(K108="","",K108-B108)</x:f>
        <x:v>1.7000000000000002</x:v>
      </x:c>
      <x:c r="M108" s="74" t="n">
        <x:f>IF(L108="","",ABS(L108))</x:f>
        <x:v>1.7000000000000002</x:v>
      </x:c>
      <x:c r="N108" s="75" t="n">
        <x:f>IF(M108="","",M108/B108*100)</x:f>
        <x:v>29.565217391304348</x:v>
      </x:c>
      <x:c r="O108" s="74" t="n">
        <x:v>5</x:v>
      </x:c>
      <x:c r="P108" s="74" t="n">
        <x:f>IF(O108="","",O108-B108)</x:f>
        <x:v>-0.75</x:v>
      </x:c>
      <x:c r="Q108" s="74" t="n">
        <x:f>IF(P108="","",ABS(P108))</x:f>
        <x:v>0.75</x:v>
      </x:c>
      <x:c r="R108" s="75" t="n">
        <x:f>IF(Q108="","",Q108/B108*100)</x:f>
        <x:v>13.043478260869565</x:v>
      </x:c>
      <x:c r="S108" s="74" t="n">
        <x:v>5.6</x:v>
      </x:c>
      <x:c r="T108" s="74" t="n">
        <x:f>IF(S108="","",S108-B108)</x:f>
        <x:v>-0.15000000000000036</x:v>
      </x:c>
      <x:c r="U108" s="74" t="n">
        <x:f>IF(T108="","",ABS(T108))</x:f>
        <x:v>0.15000000000000036</x:v>
      </x:c>
      <x:c r="V108" s="75" t="n">
        <x:f>IF(U108="","",U108/B108*100)</x:f>
        <x:v>2.6086956521739193</x:v>
      </x:c>
      <x:c r="W108" s="73" t="str">
        <x:f>IF(G108&lt;&gt;"","Genus",IF(K108&lt;&gt;"","Family",IF(O108&lt;&gt;"","Ecological proxy",IF(S108&lt;&gt;"","Broad","No fallback"))))</x:f>
        <x:v>Genus</x:v>
      </x:c>
      <x:c r="X108" s="74" t="n">
        <x:f>IF(G108&lt;&gt;"",G108,IF(K108&lt;&gt;"",K108,IF(O108&lt;&gt;"",O108,IF(S108&lt;&gt;"",S108,""))))</x:f>
        <x:v>5.97</x:v>
      </x:c>
      <x:c r="Y108" s="74" t="n">
        <x:f>IF(X108="","",X108-B108)</x:f>
        <x:v>0.21999999999999975</x:v>
      </x:c>
      <x:c r="Z108" s="74" t="n">
        <x:f>IF(Y108="","",ABS(Y108))</x:f>
        <x:v>0.21999999999999975</x:v>
      </x:c>
      <x:c r="AA108" s="75" t="n">
        <x:f>IF(Z108="","",Z108/B108*100)</x:f>
        <x:v>3.826086956521735</x:v>
      </x:c>
      <x:c r="AB108" s="73" t="str"/>
    </x:row>
    <x:row r="109" ht="52.79999923706055" hidden="0" customHeight="1">
      <x:c r="A109" s="80" t="str">
        <x:v>Scomber australasicus</x:v>
      </x:c>
      <x:c r="B109" s="74" t="n">
        <x:v>5.43</x:v>
      </x:c>
      <x:c r="C109" s="73" t="str">
        <x:v>Scomber</x:v>
      </x:c>
      <x:c r="D109" s="73" t="str">
        <x:v>Scombridae</x:v>
      </x:c>
      <x:c r="E109" s="73" t="str">
        <x:v>Small pelagic forage fishes</x:v>
      </x:c>
      <x:c r="F109" s="73" t="str">
        <x:v>Teleostei</x:v>
      </x:c>
      <x:c r="G109" s="74" t="n">
        <x:v>6.815</x:v>
      </x:c>
      <x:c r="H109" s="74" t="n">
        <x:f>IF(G109="","",G109-B109)</x:f>
        <x:v>1.3850000000000007</x:v>
      </x:c>
      <x:c r="I109" s="74" t="n">
        <x:f>IF(H109="","",ABS(H109))</x:f>
        <x:v>1.3850000000000007</x:v>
      </x:c>
      <x:c r="J109" s="75" t="n">
        <x:f>IF(I109="","",I109/B109*100)</x:f>
        <x:v>25.506445672191543</x:v>
      </x:c>
      <x:c r="K109" s="74" t="n">
        <x:v>6.815</x:v>
      </x:c>
      <x:c r="L109" s="74" t="n">
        <x:f>IF(K109="","",K109-B109)</x:f>
        <x:v>1.3850000000000007</x:v>
      </x:c>
      <x:c r="M109" s="74" t="n">
        <x:f>IF(L109="","",ABS(L109))</x:f>
        <x:v>1.3850000000000007</x:v>
      </x:c>
      <x:c r="N109" s="75" t="n">
        <x:f>IF(M109="","",M109/B109*100)</x:f>
        <x:v>25.506445672191543</x:v>
      </x:c>
      <x:c r="O109" s="74" t="n">
        <x:v>6.75</x:v>
      </x:c>
      <x:c r="P109" s="74" t="n">
        <x:f>IF(O109="","",O109-B109)</x:f>
        <x:v>1.3200000000000003</x:v>
      </x:c>
      <x:c r="Q109" s="74" t="n">
        <x:f>IF(P109="","",ABS(P109))</x:f>
        <x:v>1.3200000000000003</x:v>
      </x:c>
      <x:c r="R109" s="75" t="n">
        <x:f>IF(Q109="","",Q109/B109*100)</x:f>
        <x:v>24.309392265193377</x:v>
      </x:c>
      <x:c r="S109" s="74" t="n">
        <x:v>5.64</x:v>
      </x:c>
      <x:c r="T109" s="74" t="n">
        <x:f>IF(S109="","",S109-B109)</x:f>
        <x:v>0.20999999999999996</x:v>
      </x:c>
      <x:c r="U109" s="74" t="n">
        <x:f>IF(T109="","",ABS(T109))</x:f>
        <x:v>0.20999999999999996</x:v>
      </x:c>
      <x:c r="V109" s="75" t="n">
        <x:f>IF(U109="","",U109/B109*100)</x:f>
        <x:v>3.867403314917127</x:v>
      </x:c>
      <x:c r="W109" s="73" t="str">
        <x:f>IF(G109&lt;&gt;"","Genus",IF(K109&lt;&gt;"","Family",IF(O109&lt;&gt;"","Ecological proxy",IF(S109&lt;&gt;"","Broad","No fallback"))))</x:f>
        <x:v>Genus</x:v>
      </x:c>
      <x:c r="X109" s="74" t="n">
        <x:f>IF(G109&lt;&gt;"",G109,IF(K109&lt;&gt;"",K109,IF(O109&lt;&gt;"",O109,IF(S109&lt;&gt;"",S109,""))))</x:f>
        <x:v>6.815</x:v>
      </x:c>
      <x:c r="Y109" s="74" t="n">
        <x:f>IF(X109="","",X109-B109)</x:f>
        <x:v>1.3850000000000007</x:v>
      </x:c>
      <x:c r="Z109" s="74" t="n">
        <x:f>IF(Y109="","",ABS(Y109))</x:f>
        <x:v>1.3850000000000007</x:v>
      </x:c>
      <x:c r="AA109" s="75" t="n">
        <x:f>IF(Z109="","",Z109/B109*100)</x:f>
        <x:v>25.506445672191543</x:v>
      </x:c>
      <x:c r="AB109" s="73" t="str"/>
    </x:row>
    <x:row r="110" ht="39.599998474121094" hidden="0" customHeight="1">
      <x:c r="A110" s="80" t="str">
        <x:v>Liza argentea</x:v>
      </x:c>
      <x:c r="B110" s="74" t="n">
        <x:v>5.39</x:v>
      </x:c>
      <x:c r="C110" s="73" t="str">
        <x:v>Liza</x:v>
      </x:c>
      <x:c r="D110" s="73" t="str">
        <x:v>Mugilidae</x:v>
      </x:c>
      <x:c r="E110" s="73" t="str">
        <x:v>Estuarine/coastal fishes</x:v>
      </x:c>
      <x:c r="F110" s="73" t="str">
        <x:v>Teleostei</x:v>
      </x:c>
      <x:c r="G110" s="74" t="n">
        <x:v>6.5</x:v>
      </x:c>
      <x:c r="H110" s="74" t="n">
        <x:f>IF(G110="","",G110-B110)</x:f>
        <x:v>1.1100000000000003</x:v>
      </x:c>
      <x:c r="I110" s="74" t="n">
        <x:f>IF(H110="","",ABS(H110))</x:f>
        <x:v>1.1100000000000003</x:v>
      </x:c>
      <x:c r="J110" s="75" t="n">
        <x:f>IF(I110="","",I110/B110*100)</x:f>
        <x:v>20.593692022263458</x:v>
      </x:c>
      <x:c r="K110" s="74" t="n">
        <x:v>6.32</x:v>
      </x:c>
      <x:c r="L110" s="74" t="n">
        <x:f>IF(K110="","",K110-B110)</x:f>
        <x:v>0.9300000000000006</x:v>
      </x:c>
      <x:c r="M110" s="74" t="n">
        <x:f>IF(L110="","",ABS(L110))</x:f>
        <x:v>0.9300000000000006</x:v>
      </x:c>
      <x:c r="N110" s="75" t="n">
        <x:f>IF(M110="","",M110/B110*100)</x:f>
        <x:v>17.25417439703155</x:v>
      </x:c>
      <x:c r="O110" s="74" t="n">
        <x:v>6.14</x:v>
      </x:c>
      <x:c r="P110" s="74" t="n">
        <x:f>IF(O110="","",O110-B110)</x:f>
        <x:v>0.75</x:v>
      </x:c>
      <x:c r="Q110" s="74" t="n">
        <x:f>IF(P110="","",ABS(P110))</x:f>
        <x:v>0.75</x:v>
      </x:c>
      <x:c r="R110" s="75" t="n">
        <x:f>IF(Q110="","",Q110/B110*100)</x:f>
        <x:v>13.91465677179963</x:v>
      </x:c>
      <x:c r="S110" s="74" t="n">
        <x:v>5.64</x:v>
      </x:c>
      <x:c r="T110" s="74" t="n">
        <x:f>IF(S110="","",S110-B110)</x:f>
        <x:v>0.25</x:v>
      </x:c>
      <x:c r="U110" s="74" t="n">
        <x:f>IF(T110="","",ABS(T110))</x:f>
        <x:v>0.25</x:v>
      </x:c>
      <x:c r="V110" s="75" t="n">
        <x:f>IF(U110="","",U110/B110*100)</x:f>
        <x:v>4.63821892393321</x:v>
      </x:c>
      <x:c r="W110" s="73" t="str">
        <x:f>IF(G110&lt;&gt;"","Genus",IF(K110&lt;&gt;"","Family",IF(O110&lt;&gt;"","Ecological proxy",IF(S110&lt;&gt;"","Broad","No fallback"))))</x:f>
        <x:v>Genus</x:v>
      </x:c>
      <x:c r="X110" s="74" t="n">
        <x:f>IF(G110&lt;&gt;"",G110,IF(K110&lt;&gt;"",K110,IF(O110&lt;&gt;"",O110,IF(S110&lt;&gt;"",S110,""))))</x:f>
        <x:v>6.5</x:v>
      </x:c>
      <x:c r="Y110" s="74" t="n">
        <x:f>IF(X110="","",X110-B110)</x:f>
        <x:v>1.1100000000000003</x:v>
      </x:c>
      <x:c r="Z110" s="74" t="n">
        <x:f>IF(Y110="","",ABS(Y110))</x:f>
        <x:v>1.1100000000000003</x:v>
      </x:c>
      <x:c r="AA110" s="75" t="n">
        <x:f>IF(Z110="","",Z110/B110*100)</x:f>
        <x:v>20.593692022263458</x:v>
      </x:c>
      <x:c r="AB110" s="73" t="str"/>
    </x:row>
    <x:row r="111" ht="39.599998474121094" hidden="0" customHeight="1">
      <x:c r="A111" s="80" t="str">
        <x:v>Gerres subfasciatus</x:v>
      </x:c>
      <x:c r="B111" s="74" t="n">
        <x:v>5.2</x:v>
      </x:c>
      <x:c r="C111" s="73" t="str">
        <x:v>Gerres</x:v>
      </x:c>
      <x:c r="D111" s="73" t="str">
        <x:v>Gerreidae</x:v>
      </x:c>
      <x:c r="E111" s="73" t="str">
        <x:v>Other demersal fishes</x:v>
      </x:c>
      <x:c r="F111" s="73" t="str">
        <x:v>Teleostei</x:v>
      </x:c>
      <x:c r="G111" s="74"/>
      <x:c r="H111" s="74" t="str">
        <x:f>IF(G111="","",G111-B111)</x:f>
      </x:c>
      <x:c r="I111" s="74" t="str">
        <x:f>IF(H111="","",ABS(H111))</x:f>
      </x:c>
      <x:c r="J111" s="75" t="str">
        <x:f>IF(I111="","",I111/B111*100)</x:f>
      </x:c>
      <x:c r="K111" s="74"/>
      <x:c r="L111" s="74" t="str">
        <x:f>IF(K111="","",K111-B111)</x:f>
      </x:c>
      <x:c r="M111" s="74" t="str">
        <x:f>IF(L111="","",ABS(L111))</x:f>
      </x:c>
      <x:c r="N111" s="75" t="str">
        <x:f>IF(M111="","",M111/B111*100)</x:f>
      </x:c>
      <x:c r="O111" s="74" t="n">
        <x:v>5</x:v>
      </x:c>
      <x:c r="P111" s="74" t="n">
        <x:f>IF(O111="","",O111-B111)</x:f>
        <x:v>-0.20000000000000018</x:v>
      </x:c>
      <x:c r="Q111" s="74" t="n">
        <x:f>IF(P111="","",ABS(P111))</x:f>
        <x:v>0.20000000000000018</x:v>
      </x:c>
      <x:c r="R111" s="75" t="n">
        <x:f>IF(Q111="","",Q111/B111*100)</x:f>
        <x:v>3.8461538461538494</x:v>
      </x:c>
      <x:c r="S111" s="74" t="n">
        <x:v>5.64</x:v>
      </x:c>
      <x:c r="T111" s="74" t="n">
        <x:f>IF(S111="","",S111-B111)</x:f>
        <x:v>0.4399999999999995</x:v>
      </x:c>
      <x:c r="U111" s="74" t="n">
        <x:f>IF(T111="","",ABS(T111))</x:f>
        <x:v>0.4399999999999995</x:v>
      </x:c>
      <x:c r="V111" s="75" t="n">
        <x:f>IF(U111="","",U111/B111*100)</x:f>
        <x:v>8.461538461538453</x:v>
      </x:c>
      <x:c r="W111" s="73" t="str">
        <x:f>IF(G111&lt;&gt;"","Genus",IF(K111&lt;&gt;"","Family",IF(O111&lt;&gt;"","Ecological proxy",IF(S111&lt;&gt;"","Broad","No fallback"))))</x:f>
        <x:v>Ecological proxy</x:v>
      </x:c>
      <x:c r="X111" s="74" t="n">
        <x:f>IF(G111&lt;&gt;"",G111,IF(K111&lt;&gt;"",K111,IF(O111&lt;&gt;"",O111,IF(S111&lt;&gt;"",S111,""))))</x:f>
        <x:v>5</x:v>
      </x:c>
      <x:c r="Y111" s="74" t="n">
        <x:f>IF(X111="","",X111-B111)</x:f>
        <x:v>-0.20000000000000018</x:v>
      </x:c>
      <x:c r="Z111" s="74" t="n">
        <x:f>IF(Y111="","",ABS(Y111))</x:f>
        <x:v>0.20000000000000018</x:v>
      </x:c>
      <x:c r="AA111" s="75" t="n">
        <x:f>IF(Z111="","",Z111/B111*100)</x:f>
        <x:v>3.8461538461538494</x:v>
      </x:c>
      <x:c r="AB111" s="73" t="str"/>
    </x:row>
    <x:row r="112" ht="39.599998474121094" hidden="0" customHeight="1">
      <x:c r="A112" s="80" t="str">
        <x:v>Sillago ciliata</x:v>
      </x:c>
      <x:c r="B112" s="74" t="n">
        <x:v>5.02</x:v>
      </x:c>
      <x:c r="C112" s="73" t="str">
        <x:v>Sillago</x:v>
      </x:c>
      <x:c r="D112" s="73" t="str">
        <x:v>Sillaginidae</x:v>
      </x:c>
      <x:c r="E112" s="73" t="str">
        <x:v>Other demersal fishes</x:v>
      </x:c>
      <x:c r="F112" s="73" t="str">
        <x:v>Teleostei</x:v>
      </x:c>
      <x:c r="G112" s="74"/>
      <x:c r="H112" s="74" t="str">
        <x:f>IF(G112="","",G112-B112)</x:f>
      </x:c>
      <x:c r="I112" s="74" t="str">
        <x:f>IF(H112="","",ABS(H112))</x:f>
      </x:c>
      <x:c r="J112" s="75" t="str">
        <x:f>IF(I112="","",I112/B112*100)</x:f>
      </x:c>
      <x:c r="K112" s="74"/>
      <x:c r="L112" s="74" t="str">
        <x:f>IF(K112="","",K112-B112)</x:f>
      </x:c>
      <x:c r="M112" s="74" t="str">
        <x:f>IF(L112="","",ABS(L112))</x:f>
      </x:c>
      <x:c r="N112" s="75" t="str">
        <x:f>IF(M112="","",M112/B112*100)</x:f>
      </x:c>
      <x:c r="O112" s="74" t="n">
        <x:v>5</x:v>
      </x:c>
      <x:c r="P112" s="74" t="n">
        <x:f>IF(O112="","",O112-B112)</x:f>
        <x:v>-0.019999999999999574</x:v>
      </x:c>
      <x:c r="Q112" s="74" t="n">
        <x:f>IF(P112="","",ABS(P112))</x:f>
        <x:v>0.019999999999999574</x:v>
      </x:c>
      <x:c r="R112" s="75" t="n">
        <x:f>IF(Q112="","",Q112/B112*100)</x:f>
        <x:v>0.39840637450198363</x:v>
      </x:c>
      <x:c r="S112" s="74" t="n">
        <x:v>5.64</x:v>
      </x:c>
      <x:c r="T112" s="74" t="n">
        <x:f>IF(S112="","",S112-B112)</x:f>
        <x:v>0.6200000000000001</x:v>
      </x:c>
      <x:c r="U112" s="74" t="n">
        <x:f>IF(T112="","",ABS(T112))</x:f>
        <x:v>0.6200000000000001</x:v>
      </x:c>
      <x:c r="V112" s="75" t="n">
        <x:f>IF(U112="","",U112/B112*100)</x:f>
        <x:v>12.350597609561756</x:v>
      </x:c>
      <x:c r="W112" s="73" t="str">
        <x:f>IF(G112&lt;&gt;"","Genus",IF(K112&lt;&gt;"","Family",IF(O112&lt;&gt;"","Ecological proxy",IF(S112&lt;&gt;"","Broad","No fallback"))))</x:f>
        <x:v>Ecological proxy</x:v>
      </x:c>
      <x:c r="X112" s="74" t="n">
        <x:f>IF(G112&lt;&gt;"",G112,IF(K112&lt;&gt;"",K112,IF(O112&lt;&gt;"",O112,IF(S112&lt;&gt;"",S112,""))))</x:f>
        <x:v>5</x:v>
      </x:c>
      <x:c r="Y112" s="74" t="n">
        <x:f>IF(X112="","",X112-B112)</x:f>
        <x:v>-0.019999999999999574</x:v>
      </x:c>
      <x:c r="Z112" s="74" t="n">
        <x:f>IF(Y112="","",ABS(Y112))</x:f>
        <x:v>0.019999999999999574</x:v>
      </x:c>
      <x:c r="AA112" s="75" t="n">
        <x:f>IF(Z112="","",Z112/B112*100)</x:f>
        <x:v>0.39840637450198363</x:v>
      </x:c>
      <x:c r="AB112" s="73" t="str"/>
    </x:row>
    <x:row r="113" ht="52.79999923706055" hidden="0" customHeight="1">
      <x:c r="A113" s="80" t="str">
        <x:v>Metapenaeus macleayi</x:v>
      </x:c>
      <x:c r="B113" s="74" t="n">
        <x:v>3.84</x:v>
      </x:c>
      <x:c r="C113" s="73" t="str">
        <x:v>Metapenaeus</x:v>
      </x:c>
      <x:c r="D113" s="73" t="str">
        <x:v>Penaeidae</x:v>
      </x:c>
      <x:c r="E113" s="73" t="str">
        <x:v>Decapods (ecology unspecified)</x:v>
      </x:c>
      <x:c r="F113" s="73" t="str">
        <x:v>Crustacea</x:v>
      </x:c>
      <x:c r="G113" s="74"/>
      <x:c r="H113" s="74" t="str">
        <x:f>IF(G113="","",G113-B113)</x:f>
      </x:c>
      <x:c r="I113" s="74" t="str">
        <x:f>IF(H113="","",ABS(H113))</x:f>
      </x:c>
      <x:c r="J113" s="75" t="str">
        <x:f>IF(I113="","",I113/B113*100)</x:f>
      </x:c>
      <x:c r="K113" s="74"/>
      <x:c r="L113" s="74" t="str">
        <x:f>IF(K113="","",K113-B113)</x:f>
      </x:c>
      <x:c r="M113" s="74" t="str">
        <x:f>IF(L113="","",ABS(L113))</x:f>
      </x:c>
      <x:c r="N113" s="75" t="str">
        <x:f>IF(M113="","",M113/B113*100)</x:f>
      </x:c>
      <x:c r="O113" s="74" t="n">
        <x:v>4.1</x:v>
      </x:c>
      <x:c r="P113" s="74" t="n">
        <x:f>IF(O113="","",O113-B113)</x:f>
        <x:v>0.2599999999999998</x:v>
      </x:c>
      <x:c r="Q113" s="74" t="n">
        <x:f>IF(P113="","",ABS(P113))</x:f>
        <x:v>0.2599999999999998</x:v>
      </x:c>
      <x:c r="R113" s="75" t="n">
        <x:f>IF(Q113="","",Q113/B113*100)</x:f>
        <x:v>6.770833333333329</x:v>
      </x:c>
      <x:c r="S113" s="74" t="n">
        <x:v>4</x:v>
      </x:c>
      <x:c r="T113" s="74" t="n">
        <x:f>IF(S113="","",S113-B113)</x:f>
        <x:v>0.16000000000000014</x:v>
      </x:c>
      <x:c r="U113" s="74" t="n">
        <x:f>IF(T113="","",ABS(T113))</x:f>
        <x:v>0.16000000000000014</x:v>
      </x:c>
      <x:c r="V113" s="75" t="n">
        <x:f>IF(U113="","",U113/B113*100)</x:f>
        <x:v>4.1666666666666705</x:v>
      </x:c>
      <x:c r="W113" s="73" t="str">
        <x:f>IF(G113&lt;&gt;"","Genus",IF(K113&lt;&gt;"","Family",IF(O113&lt;&gt;"","Ecological proxy",IF(S113&lt;&gt;"","Broad","No fallback"))))</x:f>
        <x:v>Ecological proxy</x:v>
      </x:c>
      <x:c r="X113" s="74" t="n">
        <x:f>IF(G113&lt;&gt;"",G113,IF(K113&lt;&gt;"",K113,IF(O113&lt;&gt;"",O113,IF(S113&lt;&gt;"",S113,""))))</x:f>
        <x:v>4.1</x:v>
      </x:c>
      <x:c r="Y113" s="74" t="n">
        <x:f>IF(X113="","",X113-B113)</x:f>
        <x:v>0.2599999999999998</x:v>
      </x:c>
      <x:c r="Z113" s="74" t="n">
        <x:f>IF(Y113="","",ABS(Y113))</x:f>
        <x:v>0.2599999999999998</x:v>
      </x:c>
      <x:c r="AA113" s="75" t="n">
        <x:f>IF(Z113="","",Z113/B113*100)</x:f>
        <x:v>6.770833333333329</x:v>
      </x:c>
      <x:c r="AB113" s="73" t="str"/>
    </x:row>
    <x:row r="114" ht="52.79999923706055" hidden="0" customHeight="1">
      <x:c r="A114" s="80" t="str">
        <x:v>Euphausia superba</x:v>
      </x:c>
      <x:c r="B114" s="74" t="n">
        <x:v>3.73</x:v>
      </x:c>
      <x:c r="C114" s="73" t="str">
        <x:v>Euphausia</x:v>
      </x:c>
      <x:c r="D114" s="73" t="str">
        <x:v>Euphausiidae</x:v>
      </x:c>
      <x:c r="E114" s="73" t="str">
        <x:v>Pelagic planktonic euphausiids</x:v>
      </x:c>
      <x:c r="F114" s="73" t="str">
        <x:v>Crustacea</x:v>
      </x:c>
      <x:c r="G114" s="74"/>
      <x:c r="H114" s="74" t="str">
        <x:f>IF(G114="","",G114-B114)</x:f>
      </x:c>
      <x:c r="I114" s="74" t="str">
        <x:f>IF(H114="","",ABS(H114))</x:f>
      </x:c>
      <x:c r="J114" s="75" t="str">
        <x:f>IF(I114="","",I114/B114*100)</x:f>
      </x:c>
      <x:c r="K114" s="74" t="n">
        <x:v>3.9</x:v>
      </x:c>
      <x:c r="L114" s="74" t="n">
        <x:f>IF(K114="","",K114-B114)</x:f>
        <x:v>0.16999999999999993</x:v>
      </x:c>
      <x:c r="M114" s="74" t="n">
        <x:f>IF(L114="","",ABS(L114))</x:f>
        <x:v>0.16999999999999993</x:v>
      </x:c>
      <x:c r="N114" s="75" t="n">
        <x:f>IF(M114="","",M114/B114*100)</x:f>
        <x:v>4.55764075067024</x:v>
      </x:c>
      <x:c r="O114" s="74" t="n">
        <x:v>4.22</x:v>
      </x:c>
      <x:c r="P114" s="74" t="n">
        <x:f>IF(O114="","",O114-B114)</x:f>
        <x:v>0.48999999999999977</x:v>
      </x:c>
      <x:c r="Q114" s="74" t="n">
        <x:f>IF(P114="","",ABS(P114))</x:f>
        <x:v>0.48999999999999977</x:v>
      </x:c>
      <x:c r="R114" s="75" t="n">
        <x:f>IF(Q114="","",Q114/B114*100)</x:f>
        <x:v>13.136729222520103</x:v>
      </x:c>
      <x:c r="S114" s="74" t="n">
        <x:v>4</x:v>
      </x:c>
      <x:c r="T114" s="74" t="n">
        <x:f>IF(S114="","",S114-B114)</x:f>
        <x:v>0.27</x:v>
      </x:c>
      <x:c r="U114" s="74" t="n">
        <x:f>IF(T114="","",ABS(T114))</x:f>
        <x:v>0.27</x:v>
      </x:c>
      <x:c r="V114" s="75" t="n">
        <x:f>IF(U114="","",U114/B114*100)</x:f>
        <x:v>7.238605898123325</x:v>
      </x:c>
      <x:c r="W114" s="73" t="str">
        <x:f>IF(G114&lt;&gt;"","Genus",IF(K114&lt;&gt;"","Family",IF(O114&lt;&gt;"","Ecological proxy",IF(S114&lt;&gt;"","Broad","No fallback"))))</x:f>
        <x:v>Family</x:v>
      </x:c>
      <x:c r="X114" s="74" t="n">
        <x:f>IF(G114&lt;&gt;"",G114,IF(K114&lt;&gt;"",K114,IF(O114&lt;&gt;"",O114,IF(S114&lt;&gt;"",S114,""))))</x:f>
        <x:v>3.9</x:v>
      </x:c>
      <x:c r="Y114" s="74" t="n">
        <x:f>IF(X114="","",X114-B114)</x:f>
        <x:v>0.16999999999999993</x:v>
      </x:c>
      <x:c r="Z114" s="74" t="n">
        <x:f>IF(Y114="","",ABS(Y114))</x:f>
        <x:v>0.16999999999999993</x:v>
      </x:c>
      <x:c r="AA114" s="75" t="n">
        <x:f>IF(Z114="","",Z114/B114*100)</x:f>
        <x:v>4.55764075067024</x:v>
      </x:c>
      <x:c r="AB114" s="73" t="str"/>
    </x:row>
    <x:row r="115" ht="26.399999618530273" hidden="0" customHeight="1">
      <x:c r="A115" s="80" t="str">
        <x:v>Dosidicus gigas</x:v>
      </x:c>
      <x:c r="B115" s="74" t="n">
        <x:v>4.22</x:v>
      </x:c>
      <x:c r="C115" s="73" t="str">
        <x:v>Dosidicus</x:v>
      </x:c>
      <x:c r="D115" s="73" t="str">
        <x:v>Ommastrephidae</x:v>
      </x:c>
      <x:c r="E115" s="73" t="str">
        <x:v>Pelagic squids</x:v>
      </x:c>
      <x:c r="F115" s="73" t="str">
        <x:v>Cephalopoda</x:v>
      </x:c>
      <x:c r="G115" s="74"/>
      <x:c r="H115" s="74" t="str">
        <x:f>IF(G115="","",G115-B115)</x:f>
      </x:c>
      <x:c r="I115" s="74" t="str">
        <x:f>IF(H115="","",ABS(H115))</x:f>
      </x:c>
      <x:c r="J115" s="75" t="str">
        <x:f>IF(I115="","",I115/B115*100)</x:f>
      </x:c>
      <x:c r="K115" s="74" t="n">
        <x:v>4.925000000000001</x:v>
      </x:c>
      <x:c r="L115" s="74" t="n">
        <x:f>IF(K115="","",K115-B115)</x:f>
        <x:v>0.705000000000001</x:v>
      </x:c>
      <x:c r="M115" s="74" t="n">
        <x:f>IF(L115="","",ABS(L115))</x:f>
        <x:v>0.705000000000001</x:v>
      </x:c>
      <x:c r="N115" s="75" t="n">
        <x:f>IF(M115="","",M115/B115*100)</x:f>
        <x:v>16.70616113744078</x:v>
      </x:c>
      <x:c r="O115" s="74" t="n">
        <x:v>3.81</x:v>
      </x:c>
      <x:c r="P115" s="74" t="n">
        <x:f>IF(O115="","",O115-B115)</x:f>
        <x:v>-0.4099999999999997</x:v>
      </x:c>
      <x:c r="Q115" s="74" t="n">
        <x:f>IF(P115="","",ABS(P115))</x:f>
        <x:v>0.4099999999999997</x:v>
      </x:c>
      <x:c r="R115" s="75" t="n">
        <x:f>IF(Q115="","",Q115/B115*100)</x:f>
        <x:v>9.715639810426534</x:v>
      </x:c>
      <x:c r="S115" s="74" t="n">
        <x:v>4.75</x:v>
      </x:c>
      <x:c r="T115" s="74" t="n">
        <x:f>IF(S115="","",S115-B115)</x:f>
        <x:v>0.5300000000000002</x:v>
      </x:c>
      <x:c r="U115" s="74" t="n">
        <x:f>IF(T115="","",ABS(T115))</x:f>
        <x:v>0.5300000000000002</x:v>
      </x:c>
      <x:c r="V115" s="75" t="n">
        <x:f>IF(U115="","",U115/B115*100)</x:f>
        <x:v>12.559241706161146</x:v>
      </x:c>
      <x:c r="W115" s="73" t="str">
        <x:f>IF(G115&lt;&gt;"","Genus",IF(K115&lt;&gt;"","Family",IF(O115&lt;&gt;"","Ecological proxy",IF(S115&lt;&gt;"","Broad","No fallback"))))</x:f>
        <x:v>Family</x:v>
      </x:c>
      <x:c r="X115" s="74" t="n">
        <x:f>IF(G115&lt;&gt;"",G115,IF(K115&lt;&gt;"",K115,IF(O115&lt;&gt;"",O115,IF(S115&lt;&gt;"",S115,""))))</x:f>
        <x:v>4.925000000000001</x:v>
      </x:c>
      <x:c r="Y115" s="74" t="n">
        <x:f>IF(X115="","",X115-B115)</x:f>
        <x:v>0.705000000000001</x:v>
      </x:c>
      <x:c r="Z115" s="74" t="n">
        <x:f>IF(Y115="","",ABS(Y115))</x:f>
        <x:v>0.705000000000001</x:v>
      </x:c>
      <x:c r="AA115" s="75" t="n">
        <x:f>IF(Z115="","",Z115/B115*100)</x:f>
        <x:v>16.70616113744078</x:v>
      </x:c>
      <x:c r="AB115" s="73" t="str"/>
    </x:row>
    <x:row r="116" ht="52.79999923706055" hidden="0" customHeight="1">
      <x:c r="A116" s="80" t="str">
        <x:v>Symplectoteuthis ovalaniensis</x:v>
      </x:c>
      <x:c r="B116" s="74" t="n">
        <x:v>5.59</x:v>
      </x:c>
      <x:c r="C116" s="73" t="str">
        <x:v>Symplectoteuthis</x:v>
      </x:c>
      <x:c r="D116" s="73" t="str">
        <x:v>Ommastrephidae</x:v>
      </x:c>
      <x:c r="E116" s="73" t="str">
        <x:v>Pelagic squids</x:v>
      </x:c>
      <x:c r="F116" s="73" t="str">
        <x:v>Cephalopoda</x:v>
      </x:c>
      <x:c r="G116" s="74"/>
      <x:c r="H116" s="74" t="str">
        <x:f>IF(G116="","",G116-B116)</x:f>
      </x:c>
      <x:c r="I116" s="74" t="str">
        <x:f>IF(H116="","",ABS(H116))</x:f>
      </x:c>
      <x:c r="J116" s="75" t="str">
        <x:f>IF(I116="","",I116/B116*100)</x:f>
      </x:c>
      <x:c r="K116" s="74" t="n">
        <x:v>4.35</x:v>
      </x:c>
      <x:c r="L116" s="74" t="n">
        <x:f>IF(K116="","",K116-B116)</x:f>
        <x:v>-1.2400000000000002</x:v>
      </x:c>
      <x:c r="M116" s="74" t="n">
        <x:f>IF(L116="","",ABS(L116))</x:f>
        <x:v>1.2400000000000002</x:v>
      </x:c>
      <x:c r="N116" s="75" t="n">
        <x:f>IF(M116="","",M116/B116*100)</x:f>
        <x:v>22.182468694096606</x:v>
      </x:c>
      <x:c r="O116" s="74" t="n">
        <x:v>3.81</x:v>
      </x:c>
      <x:c r="P116" s="74" t="n">
        <x:f>IF(O116="","",O116-B116)</x:f>
        <x:v>-1.7799999999999998</x:v>
      </x:c>
      <x:c r="Q116" s="74" t="n">
        <x:f>IF(P116="","",ABS(P116))</x:f>
        <x:v>1.7799999999999998</x:v>
      </x:c>
      <x:c r="R116" s="75" t="n">
        <x:f>IF(Q116="","",Q116/B116*100)</x:f>
        <x:v>31.84257602862254</x:v>
      </x:c>
      <x:c r="S116" s="74" t="n">
        <x:v>4.65</x:v>
      </x:c>
      <x:c r="T116" s="74" t="n">
        <x:f>IF(S116="","",S116-B116)</x:f>
        <x:v>-0.9399999999999995</x:v>
      </x:c>
      <x:c r="U116" s="74" t="n">
        <x:f>IF(T116="","",ABS(T116))</x:f>
        <x:v>0.9399999999999995</x:v>
      </x:c>
      <x:c r="V116" s="75" t="n">
        <x:f>IF(U116="","",U116/B116*100)</x:f>
        <x:v>16.815742397137736</x:v>
      </x:c>
      <x:c r="W116" s="73" t="str">
        <x:f>IF(G116&lt;&gt;"","Genus",IF(K116&lt;&gt;"","Family",IF(O116&lt;&gt;"","Ecological proxy",IF(S116&lt;&gt;"","Broad","No fallback"))))</x:f>
        <x:v>Family</x:v>
      </x:c>
      <x:c r="X116" s="74" t="n">
        <x:f>IF(G116&lt;&gt;"",G116,IF(K116&lt;&gt;"",K116,IF(O116&lt;&gt;"",O116,IF(S116&lt;&gt;"",S116,""))))</x:f>
        <x:v>4.35</x:v>
      </x:c>
      <x:c r="Y116" s="74" t="n">
        <x:f>IF(X116="","",X116-B116)</x:f>
        <x:v>-1.2400000000000002</x:v>
      </x:c>
      <x:c r="Z116" s="74" t="n">
        <x:f>IF(Y116="","",ABS(Y116))</x:f>
        <x:v>1.2400000000000002</x:v>
      </x:c>
      <x:c r="AA116" s="75" t="n">
        <x:f>IF(Z116="","",Z116/B116*100)</x:f>
        <x:v>22.182468694096606</x:v>
      </x:c>
      <x:c r="AB116" s="73" t="str"/>
    </x:row>
    <x:row r="117" ht="39.599998474121094" hidden="0" customHeight="1">
      <x:c r="A117" s="80" t="str">
        <x:v>Clinocardium ciliatum</x:v>
      </x:c>
      <x:c r="B117" s="74" t="n">
        <x:v>1.57</x:v>
      </x:c>
      <x:c r="C117" s="73" t="str">
        <x:v>Clinocardium</x:v>
      </x:c>
      <x:c r="D117" s="73" t="str">
        <x:v>Cardiidae</x:v>
      </x:c>
      <x:c r="E117" s="73" t="str">
        <x:v>Benthic bivalves</x:v>
      </x:c>
      <x:c r="F117" s="73" t="str">
        <x:v>Mollusca (non-cephalopods)</x:v>
      </x:c>
      <x:c r="G117" s="74"/>
      <x:c r="H117" s="74" t="str">
        <x:f>IF(G117="","",G117-B117)</x:f>
      </x:c>
      <x:c r="I117" s="74" t="str">
        <x:f>IF(H117="","",ABS(H117))</x:f>
      </x:c>
      <x:c r="J117" s="75" t="str">
        <x:f>IF(I117="","",I117/B117*100)</x:f>
      </x:c>
      <x:c r="K117" s="74"/>
      <x:c r="L117" s="74" t="str">
        <x:f>IF(K117="","",K117-B117)</x:f>
      </x:c>
      <x:c r="M117" s="74" t="str">
        <x:f>IF(L117="","",ABS(L117))</x:f>
      </x:c>
      <x:c r="N117" s="75" t="str">
        <x:f>IF(M117="","",M117/B117*100)</x:f>
      </x:c>
      <x:c r="O117" s="74" t="n">
        <x:v>2.15</x:v>
      </x:c>
      <x:c r="P117" s="74" t="n">
        <x:f>IF(O117="","",O117-B117)</x:f>
        <x:v>0.5799999999999998</x:v>
      </x:c>
      <x:c r="Q117" s="74" t="n">
        <x:f>IF(P117="","",ABS(P117))</x:f>
        <x:v>0.5799999999999998</x:v>
      </x:c>
      <x:c r="R117" s="75" t="n">
        <x:f>IF(Q117="","",Q117/B117*100)</x:f>
        <x:v>36.942675159235655</x:v>
      </x:c>
      <x:c r="S117" s="74" t="n">
        <x:v>2.15</x:v>
      </x:c>
      <x:c r="T117" s="74" t="n">
        <x:f>IF(S117="","",S117-B117)</x:f>
        <x:v>0.5799999999999998</x:v>
      </x:c>
      <x:c r="U117" s="74" t="n">
        <x:f>IF(T117="","",ABS(T117))</x:f>
        <x:v>0.5799999999999998</x:v>
      </x:c>
      <x:c r="V117" s="75" t="n">
        <x:f>IF(U117="","",U117/B117*100)</x:f>
        <x:v>36.942675159235655</x:v>
      </x:c>
      <x:c r="W117" s="73" t="str">
        <x:f>IF(G117&lt;&gt;"","Genus",IF(K117&lt;&gt;"","Family",IF(O117&lt;&gt;"","Ecological proxy",IF(S117&lt;&gt;"","Broad","No fallback"))))</x:f>
        <x:v>Ecological proxy</x:v>
      </x:c>
      <x:c r="X117" s="74" t="n">
        <x:f>IF(G117&lt;&gt;"",G117,IF(K117&lt;&gt;"",K117,IF(O117&lt;&gt;"",O117,IF(S117&lt;&gt;"",S117,""))))</x:f>
        <x:v>2.15</x:v>
      </x:c>
      <x:c r="Y117" s="74" t="n">
        <x:f>IF(X117="","",X117-B117)</x:f>
        <x:v>0.5799999999999998</x:v>
      </x:c>
      <x:c r="Z117" s="74" t="n">
        <x:f>IF(Y117="","",ABS(Y117))</x:f>
        <x:v>0.5799999999999998</x:v>
      </x:c>
      <x:c r="AA117" s="75" t="n">
        <x:f>IF(Z117="","",Z117/B117*100)</x:f>
        <x:v>36.942675159235655</x:v>
      </x:c>
      <x:c r="AB117" s="73" t="str"/>
    </x:row>
    <x:row r="118" ht="39.599998474121094" hidden="0" customHeight="1">
      <x:c r="A118" s="80" t="str">
        <x:v>Yoldia sapotilla</x:v>
      </x:c>
      <x:c r="B118" s="74" t="n">
        <x:v>2.88</x:v>
      </x:c>
      <x:c r="C118" s="73" t="str">
        <x:v>Yoldia</x:v>
      </x:c>
      <x:c r="D118" s="73" t="str">
        <x:v>Yoldiidae</x:v>
      </x:c>
      <x:c r="E118" s="73" t="str">
        <x:v>Benthic bivalves</x:v>
      </x:c>
      <x:c r="F118" s="73" t="str">
        <x:v>Mollusca (non-cephalopods)</x:v>
      </x:c>
      <x:c r="G118" s="74" t="n">
        <x:v>2.13</x:v>
      </x:c>
      <x:c r="H118" s="74" t="n">
        <x:f>IF(G118="","",G118-B118)</x:f>
        <x:v>-0.75</x:v>
      </x:c>
      <x:c r="I118" s="74" t="n">
        <x:f>IF(H118="","",ABS(H118))</x:f>
        <x:v>0.75</x:v>
      </x:c>
      <x:c r="J118" s="75" t="n">
        <x:f>IF(I118="","",I118/B118*100)</x:f>
        <x:v>26.041666666666668</x:v>
      </x:c>
      <x:c r="K118" s="74" t="n">
        <x:v>2.13</x:v>
      </x:c>
      <x:c r="L118" s="74" t="n">
        <x:f>IF(K118="","",K118-B118)</x:f>
        <x:v>-0.75</x:v>
      </x:c>
      <x:c r="M118" s="74" t="n">
        <x:f>IF(L118="","",ABS(L118))</x:f>
        <x:v>0.75</x:v>
      </x:c>
      <x:c r="N118" s="75" t="n">
        <x:f>IF(M118="","",M118/B118*100)</x:f>
        <x:v>26.041666666666668</x:v>
      </x:c>
      <x:c r="O118" s="74" t="n">
        <x:v>2.13</x:v>
      </x:c>
      <x:c r="P118" s="74" t="n">
        <x:f>IF(O118="","",O118-B118)</x:f>
        <x:v>-0.75</x:v>
      </x:c>
      <x:c r="Q118" s="74" t="n">
        <x:f>IF(P118="","",ABS(P118))</x:f>
        <x:v>0.75</x:v>
      </x:c>
      <x:c r="R118" s="75" t="n">
        <x:f>IF(Q118="","",Q118/B118*100)</x:f>
        <x:v>26.041666666666668</x:v>
      </x:c>
      <x:c r="S118" s="74" t="n">
        <x:v>2.13</x:v>
      </x:c>
      <x:c r="T118" s="74" t="n">
        <x:f>IF(S118="","",S118-B118)</x:f>
        <x:v>-0.75</x:v>
      </x:c>
      <x:c r="U118" s="74" t="n">
        <x:f>IF(T118="","",ABS(T118))</x:f>
        <x:v>0.75</x:v>
      </x:c>
      <x:c r="V118" s="75" t="n">
        <x:f>IF(U118="","",U118/B118*100)</x:f>
        <x:v>26.041666666666668</x:v>
      </x:c>
      <x:c r="W118" s="73" t="str">
        <x:f>IF(G118&lt;&gt;"","Genus",IF(K118&lt;&gt;"","Family",IF(O118&lt;&gt;"","Ecological proxy",IF(S118&lt;&gt;"","Broad","No fallback"))))</x:f>
        <x:v>Genus</x:v>
      </x:c>
      <x:c r="X118" s="74" t="n">
        <x:f>IF(G118&lt;&gt;"",G118,IF(K118&lt;&gt;"",K118,IF(O118&lt;&gt;"",O118,IF(S118&lt;&gt;"",S118,""))))</x:f>
        <x:v>2.13</x:v>
      </x:c>
      <x:c r="Y118" s="74" t="n">
        <x:f>IF(X118="","",X118-B118)</x:f>
        <x:v>-0.75</x:v>
      </x:c>
      <x:c r="Z118" s="74" t="n">
        <x:f>IF(Y118="","",ABS(Y118))</x:f>
        <x:v>0.75</x:v>
      </x:c>
      <x:c r="AA118" s="75" t="n">
        <x:f>IF(Z118="","",Z118/B118*100)</x:f>
        <x:v>26.041666666666668</x:v>
      </x:c>
      <x:c r="AB118" s="73" t="str"/>
    </x:row>
    <x:row r="119" ht="39.599998474121094" hidden="0" customHeight="1">
      <x:c r="A119" s="80" t="str">
        <x:v>Yoldia thraciaeformis</x:v>
      </x:c>
      <x:c r="B119" s="74" t="n">
        <x:v>2.13</x:v>
      </x:c>
      <x:c r="C119" s="73" t="str">
        <x:v>Yoldia</x:v>
      </x:c>
      <x:c r="D119" s="73" t="str">
        <x:v>Yoldiidae</x:v>
      </x:c>
      <x:c r="E119" s="73" t="str">
        <x:v>Benthic bivalves</x:v>
      </x:c>
      <x:c r="F119" s="73" t="str">
        <x:v>Mollusca (non-cephalopods)</x:v>
      </x:c>
      <x:c r="G119" s="74" t="n">
        <x:v>2.88</x:v>
      </x:c>
      <x:c r="H119" s="74" t="n">
        <x:f>IF(G119="","",G119-B119)</x:f>
        <x:v>0.75</x:v>
      </x:c>
      <x:c r="I119" s="74" t="n">
        <x:f>IF(H119="","",ABS(H119))</x:f>
        <x:v>0.75</x:v>
      </x:c>
      <x:c r="J119" s="75" t="n">
        <x:f>IF(I119="","",I119/B119*100)</x:f>
        <x:v>35.21126760563381</x:v>
      </x:c>
      <x:c r="K119" s="74" t="n">
        <x:v>2.88</x:v>
      </x:c>
      <x:c r="L119" s="74" t="n">
        <x:f>IF(K119="","",K119-B119)</x:f>
        <x:v>0.75</x:v>
      </x:c>
      <x:c r="M119" s="74" t="n">
        <x:f>IF(L119="","",ABS(L119))</x:f>
        <x:v>0.75</x:v>
      </x:c>
      <x:c r="N119" s="75" t="n">
        <x:f>IF(M119="","",M119/B119*100)</x:f>
        <x:v>35.21126760563381</x:v>
      </x:c>
      <x:c r="O119" s="74" t="n">
        <x:v>2.15</x:v>
      </x:c>
      <x:c r="P119" s="74" t="n">
        <x:f>IF(O119="","",O119-B119)</x:f>
        <x:v>0.020000000000000018</x:v>
      </x:c>
      <x:c r="Q119" s="74" t="n">
        <x:f>IF(P119="","",ABS(P119))</x:f>
        <x:v>0.020000000000000018</x:v>
      </x:c>
      <x:c r="R119" s="75" t="n">
        <x:f>IF(Q119="","",Q119/B119*100)</x:f>
        <x:v>0.9389671361502356</x:v>
      </x:c>
      <x:c r="S119" s="74" t="n">
        <x:v>2.15</x:v>
      </x:c>
      <x:c r="T119" s="74" t="n">
        <x:f>IF(S119="","",S119-B119)</x:f>
        <x:v>0.020000000000000018</x:v>
      </x:c>
      <x:c r="U119" s="74" t="n">
        <x:f>IF(T119="","",ABS(T119))</x:f>
        <x:v>0.020000000000000018</x:v>
      </x:c>
      <x:c r="V119" s="75" t="n">
        <x:f>IF(U119="","",U119/B119*100)</x:f>
        <x:v>0.9389671361502356</x:v>
      </x:c>
      <x:c r="W119" s="73" t="str">
        <x:f>IF(G119&lt;&gt;"","Genus",IF(K119&lt;&gt;"","Family",IF(O119&lt;&gt;"","Ecological proxy",IF(S119&lt;&gt;"","Broad","No fallback"))))</x:f>
        <x:v>Genus</x:v>
      </x:c>
      <x:c r="X119" s="74" t="n">
        <x:f>IF(G119&lt;&gt;"",G119,IF(K119&lt;&gt;"",K119,IF(O119&lt;&gt;"",O119,IF(S119&lt;&gt;"",S119,""))))</x:f>
        <x:v>2.88</x:v>
      </x:c>
      <x:c r="Y119" s="74" t="n">
        <x:f>IF(X119="","",X119-B119)</x:f>
        <x:v>0.75</x:v>
      </x:c>
      <x:c r="Z119" s="74" t="n">
        <x:f>IF(Y119="","",ABS(Y119))</x:f>
        <x:v>0.75</x:v>
      </x:c>
      <x:c r="AA119" s="75" t="n">
        <x:f>IF(Z119="","",Z119/B119*100)</x:f>
        <x:v>35.21126760563381</x:v>
      </x:c>
      <x:c r="AB119" s="73" t="str"/>
    </x:row>
    <x:row r="120" ht="52.79999923706055" hidden="0" customHeight="1">
      <x:c r="A120" s="80" t="str">
        <x:v>Aphrodita hastata</x:v>
      </x:c>
      <x:c r="B120" s="74" t="n">
        <x:v>2.03</x:v>
      </x:c>
      <x:c r="C120" s="73" t="str">
        <x:v>Aphrodita</x:v>
      </x:c>
      <x:c r="D120" s="73" t="str">
        <x:v>Aphroditidae</x:v>
      </x:c>
      <x:c r="E120" s="73" t="str">
        <x:v>Other benthic polychaetes</x:v>
      </x:c>
      <x:c r="F120" s="73" t="str">
        <x:v>Annelida</x:v>
      </x:c>
      <x:c r="G120" s="74"/>
      <x:c r="H120" s="74" t="str">
        <x:f>IF(G120="","",G120-B120)</x:f>
      </x:c>
      <x:c r="I120" s="74" t="str">
        <x:f>IF(H120="","",ABS(H120))</x:f>
      </x:c>
      <x:c r="J120" s="75" t="str">
        <x:f>IF(I120="","",I120/B120*100)</x:f>
      </x:c>
      <x:c r="K120" s="74"/>
      <x:c r="L120" s="74" t="str">
        <x:f>IF(K120="","",K120-B120)</x:f>
      </x:c>
      <x:c r="M120" s="74" t="str">
        <x:f>IF(L120="","",ABS(L120))</x:f>
      </x:c>
      <x:c r="N120" s="75" t="str">
        <x:f>IF(M120="","",M120/B120*100)</x:f>
      </x:c>
      <x:c r="O120" s="74" t="n">
        <x:v>2.045</x:v>
      </x:c>
      <x:c r="P120" s="74" t="n">
        <x:f>IF(O120="","",O120-B120)</x:f>
        <x:v>0.015000000000000124</x:v>
      </x:c>
      <x:c r="Q120" s="74" t="n">
        <x:f>IF(P120="","",ABS(P120))</x:f>
        <x:v>0.015000000000000124</x:v>
      </x:c>
      <x:c r="R120" s="75" t="n">
        <x:f>IF(Q120="","",Q120/B120*100)</x:f>
        <x:v>0.7389162561576417</x:v>
      </x:c>
      <x:c r="S120" s="74" t="n">
        <x:v>1.25</x:v>
      </x:c>
      <x:c r="T120" s="74" t="n">
        <x:f>IF(S120="","",S120-B120)</x:f>
        <x:v>-0.7799999999999998</x:v>
      </x:c>
      <x:c r="U120" s="74" t="n">
        <x:f>IF(T120="","",ABS(T120))</x:f>
        <x:v>0.7799999999999998</x:v>
      </x:c>
      <x:c r="V120" s="75" t="n">
        <x:f>IF(U120="","",U120/B120*100)</x:f>
        <x:v>38.42364532019704</x:v>
      </x:c>
      <x:c r="W120" s="73" t="str">
        <x:f>IF(G120&lt;&gt;"","Genus",IF(K120&lt;&gt;"","Family",IF(O120&lt;&gt;"","Ecological proxy",IF(S120&lt;&gt;"","Broad","No fallback"))))</x:f>
        <x:v>Ecological proxy</x:v>
      </x:c>
      <x:c r="X120" s="74" t="n">
        <x:f>IF(G120&lt;&gt;"",G120,IF(K120&lt;&gt;"",K120,IF(O120&lt;&gt;"",O120,IF(S120&lt;&gt;"",S120,""))))</x:f>
        <x:v>2.045</x:v>
      </x:c>
      <x:c r="Y120" s="74" t="n">
        <x:f>IF(X120="","",X120-B120)</x:f>
        <x:v>0.015000000000000124</x:v>
      </x:c>
      <x:c r="Z120" s="74" t="n">
        <x:f>IF(Y120="","",ABS(Y120))</x:f>
        <x:v>0.015000000000000124</x:v>
      </x:c>
      <x:c r="AA120" s="75" t="n">
        <x:f>IF(Z120="","",Z120/B120*100)</x:f>
        <x:v>0.7389162561576417</x:v>
      </x:c>
      <x:c r="AB120" s="73" t="str"/>
    </x:row>
    <x:row r="121" ht="52.79999923706055" hidden="0" customHeight="1">
      <x:c r="A121" s="80" t="str">
        <x:v>Luabrinereis fragilis</x:v>
      </x:c>
      <x:c r="B121" s="74" t="n">
        <x:v>4.43</x:v>
      </x:c>
      <x:c r="C121" s="73" t="str">
        <x:v>Luabrinereis</x:v>
      </x:c>
      <x:c r="D121" s="73"/>
      <x:c r="E121" s="73" t="str">
        <x:v>Other benthic polychaetes</x:v>
      </x:c>
      <x:c r="F121" s="73" t="str">
        <x:v>Annelida</x:v>
      </x:c>
      <x:c r="G121" s="74"/>
      <x:c r="H121" s="74" t="str">
        <x:f>IF(G121="","",G121-B121)</x:f>
      </x:c>
      <x:c r="I121" s="74" t="str">
        <x:f>IF(H121="","",ABS(H121))</x:f>
      </x:c>
      <x:c r="J121" s="75" t="str">
        <x:f>IF(I121="","",I121/B121*100)</x:f>
      </x:c>
      <x:c r="K121" s="74"/>
      <x:c r="L121" s="74" t="str">
        <x:f>IF(K121="","",K121-B121)</x:f>
      </x:c>
      <x:c r="M121" s="74" t="str">
        <x:f>IF(L121="","",ABS(L121))</x:f>
      </x:c>
      <x:c r="N121" s="75" t="str">
        <x:f>IF(M121="","",M121/B121*100)</x:f>
      </x:c>
      <x:c r="O121" s="74" t="n">
        <x:v>2.045</x:v>
      </x:c>
      <x:c r="P121" s="74" t="n">
        <x:f>IF(O121="","",O121-B121)</x:f>
        <x:v>-2.385</x:v>
      </x:c>
      <x:c r="Q121" s="74" t="n">
        <x:f>IF(P121="","",ABS(P121))</x:f>
        <x:v>2.385</x:v>
      </x:c>
      <x:c r="R121" s="75" t="n">
        <x:f>IF(Q121="","",Q121/B121*100)</x:f>
        <x:v>53.83747178329571</x:v>
      </x:c>
      <x:c r="S121" s="74" t="n">
        <x:v>1.25</x:v>
      </x:c>
      <x:c r="T121" s="74" t="n">
        <x:f>IF(S121="","",S121-B121)</x:f>
        <x:v>-3.1799999999999997</x:v>
      </x:c>
      <x:c r="U121" s="74" t="n">
        <x:f>IF(T121="","",ABS(T121))</x:f>
        <x:v>3.1799999999999997</x:v>
      </x:c>
      <x:c r="V121" s="75" t="n">
        <x:f>IF(U121="","",U121/B121*100)</x:f>
        <x:v>71.78329571106094</x:v>
      </x:c>
      <x:c r="W121" s="73" t="str">
        <x:f>IF(G121&lt;&gt;"","Genus",IF(K121&lt;&gt;"","Family",IF(O121&lt;&gt;"","Ecological proxy",IF(S121&lt;&gt;"","Broad","No fallback"))))</x:f>
        <x:v>Ecological proxy</x:v>
      </x:c>
      <x:c r="X121" s="74" t="n">
        <x:f>IF(G121&lt;&gt;"",G121,IF(K121&lt;&gt;"",K121,IF(O121&lt;&gt;"",O121,IF(S121&lt;&gt;"",S121,""))))</x:f>
        <x:v>2.045</x:v>
      </x:c>
      <x:c r="Y121" s="74" t="n">
        <x:f>IF(X121="","",X121-B121)</x:f>
        <x:v>-2.385</x:v>
      </x:c>
      <x:c r="Z121" s="74" t="n">
        <x:f>IF(Y121="","",ABS(Y121))</x:f>
        <x:v>2.385</x:v>
      </x:c>
      <x:c r="AA121" s="75" t="n">
        <x:f>IF(Z121="","",Z121/B121*100)</x:f>
        <x:v>53.83747178329571</x:v>
      </x:c>
      <x:c r="AB121" s="73" t="str"/>
    </x:row>
    <x:row r="122" ht="52.79999923706055" hidden="0" customHeight="1">
      <x:c r="A122" s="80" t="str">
        <x:v>Nethys ciliata</x:v>
      </x:c>
      <x:c r="B122" s="74" t="n">
        <x:v>3.13</x:v>
      </x:c>
      <x:c r="C122" s="73" t="str">
        <x:v>Nethys</x:v>
      </x:c>
      <x:c r="D122" s="73"/>
      <x:c r="E122" s="73" t="str">
        <x:v>Other benthic polychaetes</x:v>
      </x:c>
      <x:c r="F122" s="73" t="str">
        <x:v>Annelida</x:v>
      </x:c>
      <x:c r="G122" s="74"/>
      <x:c r="H122" s="74" t="str">
        <x:f>IF(G122="","",G122-B122)</x:f>
      </x:c>
      <x:c r="I122" s="74" t="str">
        <x:f>IF(H122="","",ABS(H122))</x:f>
      </x:c>
      <x:c r="J122" s="75" t="str">
        <x:f>IF(I122="","",I122/B122*100)</x:f>
      </x:c>
      <x:c r="K122" s="74"/>
      <x:c r="L122" s="74" t="str">
        <x:f>IF(K122="","",K122-B122)</x:f>
      </x:c>
      <x:c r="M122" s="74" t="str">
        <x:f>IF(L122="","",ABS(L122))</x:f>
      </x:c>
      <x:c r="N122" s="75" t="str">
        <x:f>IF(M122="","",M122/B122*100)</x:f>
      </x:c>
      <x:c r="O122" s="74" t="n">
        <x:v>2.045</x:v>
      </x:c>
      <x:c r="P122" s="74" t="n">
        <x:f>IF(O122="","",O122-B122)</x:f>
        <x:v>-1.085</x:v>
      </x:c>
      <x:c r="Q122" s="74" t="n">
        <x:f>IF(P122="","",ABS(P122))</x:f>
        <x:v>1.085</x:v>
      </x:c>
      <x:c r="R122" s="75" t="n">
        <x:f>IF(Q122="","",Q122/B122*100)</x:f>
        <x:v>34.66453674121406</x:v>
      </x:c>
      <x:c r="S122" s="74" t="n">
        <x:v>1.25</x:v>
      </x:c>
      <x:c r="T122" s="74" t="n">
        <x:f>IF(S122="","",S122-B122)</x:f>
        <x:v>-1.88</x:v>
      </x:c>
      <x:c r="U122" s="74" t="n">
        <x:f>IF(T122="","",ABS(T122))</x:f>
        <x:v>1.88</x:v>
      </x:c>
      <x:c r="V122" s="75" t="n">
        <x:f>IF(U122="","",U122/B122*100)</x:f>
        <x:v>60.063897763578275</x:v>
      </x:c>
      <x:c r="W122" s="73" t="str">
        <x:f>IF(G122&lt;&gt;"","Genus",IF(K122&lt;&gt;"","Family",IF(O122&lt;&gt;"","Ecological proxy",IF(S122&lt;&gt;"","Broad","No fallback"))))</x:f>
        <x:v>Ecological proxy</x:v>
      </x:c>
      <x:c r="X122" s="74" t="n">
        <x:f>IF(G122&lt;&gt;"",G122,IF(K122&lt;&gt;"",K122,IF(O122&lt;&gt;"",O122,IF(S122&lt;&gt;"",S122,""))))</x:f>
        <x:v>2.045</x:v>
      </x:c>
      <x:c r="Y122" s="74" t="n">
        <x:f>IF(X122="","",X122-B122)</x:f>
        <x:v>-1.085</x:v>
      </x:c>
      <x:c r="Z122" s="74" t="n">
        <x:f>IF(Y122="","",ABS(Y122))</x:f>
        <x:v>1.085</x:v>
      </x:c>
      <x:c r="AA122" s="75" t="n">
        <x:f>IF(Z122="","",Z122/B122*100)</x:f>
        <x:v>34.66453674121406</x:v>
      </x:c>
      <x:c r="AB122" s="73" t="str"/>
    </x:row>
    <x:row r="123" ht="52.79999923706055" hidden="0" customHeight="1">
      <x:c r="A123" s="80" t="str">
        <x:v>Mallotus villosus</x:v>
      </x:c>
      <x:c r="B123" s="74" t="n">
        <x:v>7.03</x:v>
      </x:c>
      <x:c r="C123" s="73" t="str">
        <x:v>Mallotus</x:v>
      </x:c>
      <x:c r="D123" s="73" t="str">
        <x:v>Osmeridae</x:v>
      </x:c>
      <x:c r="E123" s="73" t="str">
        <x:v>Small pelagic forage fishes</x:v>
      </x:c>
      <x:c r="F123" s="73" t="str">
        <x:v>Teleostei</x:v>
      </x:c>
      <x:c r="G123" s="74"/>
      <x:c r="H123" s="74" t="str">
        <x:f>IF(G123="","",G123-B123)</x:f>
      </x:c>
      <x:c r="I123" s="74" t="str">
        <x:f>IF(H123="","",ABS(H123))</x:f>
      </x:c>
      <x:c r="J123" s="75" t="str">
        <x:f>IF(I123="","",I123/B123*100)</x:f>
      </x:c>
      <x:c r="K123" s="74" t="n">
        <x:v>11.05</x:v>
      </x:c>
      <x:c r="L123" s="74" t="n">
        <x:f>IF(K123="","",K123-B123)</x:f>
        <x:v>4.0200000000000005</x:v>
      </x:c>
      <x:c r="M123" s="74" t="n">
        <x:f>IF(L123="","",ABS(L123))</x:f>
        <x:v>4.0200000000000005</x:v>
      </x:c>
      <x:c r="N123" s="75" t="n">
        <x:f>IF(M123="","",M123/B123*100)</x:f>
        <x:v>57.18349928876245</x:v>
      </x:c>
      <x:c r="O123" s="74" t="n">
        <x:v>6.74</x:v>
      </x:c>
      <x:c r="P123" s="74" t="n">
        <x:f>IF(O123="","",O123-B123)</x:f>
        <x:v>-0.29000000000000004</x:v>
      </x:c>
      <x:c r="Q123" s="74" t="n">
        <x:f>IF(P123="","",ABS(P123))</x:f>
        <x:v>0.29000000000000004</x:v>
      </x:c>
      <x:c r="R123" s="75" t="n">
        <x:f>IF(Q123="","",Q123/B123*100)</x:f>
        <x:v>4.125177809388337</x:v>
      </x:c>
      <x:c r="S123" s="74" t="n">
        <x:v>5.6</x:v>
      </x:c>
      <x:c r="T123" s="74" t="n">
        <x:f>IF(S123="","",S123-B123)</x:f>
        <x:v>-1.4300000000000006</x:v>
      </x:c>
      <x:c r="U123" s="74" t="n">
        <x:f>IF(T123="","",ABS(T123))</x:f>
        <x:v>1.4300000000000006</x:v>
      </x:c>
      <x:c r="V123" s="75" t="n">
        <x:f>IF(U123="","",U123/B123*100)</x:f>
        <x:v>20.341394025604558</x:v>
      </x:c>
      <x:c r="W123" s="73" t="str">
        <x:f>IF(G123&lt;&gt;"","Genus",IF(K123&lt;&gt;"","Family",IF(O123&lt;&gt;"","Ecological proxy",IF(S123&lt;&gt;"","Broad","No fallback"))))</x:f>
        <x:v>Family</x:v>
      </x:c>
      <x:c r="X123" s="74" t="n">
        <x:f>IF(G123&lt;&gt;"",G123,IF(K123&lt;&gt;"",K123,IF(O123&lt;&gt;"",O123,IF(S123&lt;&gt;"",S123,""))))</x:f>
        <x:v>11.05</x:v>
      </x:c>
      <x:c r="Y123" s="74" t="n">
        <x:f>IF(X123="","",X123-B123)</x:f>
        <x:v>4.0200000000000005</x:v>
      </x:c>
      <x:c r="Z123" s="74" t="n">
        <x:f>IF(Y123="","",ABS(Y123))</x:f>
        <x:v>4.0200000000000005</x:v>
      </x:c>
      <x:c r="AA123" s="75" t="n">
        <x:f>IF(Z123="","",Z123/B123*100)</x:f>
        <x:v>57.18349928876245</x:v>
      </x:c>
      <x:c r="AB123" s="73" t="str"/>
    </x:row>
    <x:row r="124" ht="52.79999923706055" hidden="0" customHeight="1">
      <x:c r="A124" s="80" t="str">
        <x:v>Thaleichthys pacificus</x:v>
      </x:c>
      <x:c r="B124" s="74" t="n">
        <x:v>11.05</x:v>
      </x:c>
      <x:c r="C124" s="73" t="str">
        <x:v>Thaleichthys</x:v>
      </x:c>
      <x:c r="D124" s="73" t="str">
        <x:v>Osmeridae</x:v>
      </x:c>
      <x:c r="E124" s="73" t="str">
        <x:v>Small pelagic forage fishes</x:v>
      </x:c>
      <x:c r="F124" s="73" t="str">
        <x:v>Teleostei</x:v>
      </x:c>
      <x:c r="G124" s="74"/>
      <x:c r="H124" s="74" t="str">
        <x:f>IF(G124="","",G124-B124)</x:f>
      </x:c>
      <x:c r="I124" s="74" t="str">
        <x:f>IF(H124="","",ABS(H124))</x:f>
      </x:c>
      <x:c r="J124" s="75" t="str">
        <x:f>IF(I124="","",I124/B124*100)</x:f>
      </x:c>
      <x:c r="K124" s="74" t="n">
        <x:v>7.03</x:v>
      </x:c>
      <x:c r="L124" s="74" t="n">
        <x:f>IF(K124="","",K124-B124)</x:f>
        <x:v>-4.0200000000000005</x:v>
      </x:c>
      <x:c r="M124" s="74" t="n">
        <x:f>IF(L124="","",ABS(L124))</x:f>
        <x:v>4.0200000000000005</x:v>
      </x:c>
      <x:c r="N124" s="75" t="n">
        <x:f>IF(M124="","",M124/B124*100)</x:f>
        <x:v>36.38009049773756</x:v>
      </x:c>
      <x:c r="O124" s="74" t="n">
        <x:v>6.74</x:v>
      </x:c>
      <x:c r="P124" s="74" t="n">
        <x:f>IF(O124="","",O124-B124)</x:f>
        <x:v>-4.3100000000000005</x:v>
      </x:c>
      <x:c r="Q124" s="74" t="n">
        <x:f>IF(P124="","",ABS(P124))</x:f>
        <x:v>4.3100000000000005</x:v>
      </x:c>
      <x:c r="R124" s="75" t="n">
        <x:f>IF(Q124="","",Q124/B124*100)</x:f>
        <x:v>39.00452488687783</x:v>
      </x:c>
      <x:c r="S124" s="74" t="n">
        <x:v>5.6</x:v>
      </x:c>
      <x:c r="T124" s="74" t="n">
        <x:f>IF(S124="","",S124-B124)</x:f>
        <x:v>-5.450000000000001</x:v>
      </x:c>
      <x:c r="U124" s="74" t="n">
        <x:f>IF(T124="","",ABS(T124))</x:f>
        <x:v>5.450000000000001</x:v>
      </x:c>
      <x:c r="V124" s="75" t="n">
        <x:f>IF(U124="","",U124/B124*100)</x:f>
        <x:v>49.3212669683258</x:v>
      </x:c>
      <x:c r="W124" s="73" t="str">
        <x:f>IF(G124&lt;&gt;"","Genus",IF(K124&lt;&gt;"","Family",IF(O124&lt;&gt;"","Ecological proxy",IF(S124&lt;&gt;"","Broad","No fallback"))))</x:f>
        <x:v>Family</x:v>
      </x:c>
      <x:c r="X124" s="74" t="n">
        <x:f>IF(G124&lt;&gt;"",G124,IF(K124&lt;&gt;"",K124,IF(O124&lt;&gt;"",O124,IF(S124&lt;&gt;"",S124,""))))</x:f>
        <x:v>7.03</x:v>
      </x:c>
      <x:c r="Y124" s="74" t="n">
        <x:f>IF(X124="","",X124-B124)</x:f>
        <x:v>-4.0200000000000005</x:v>
      </x:c>
      <x:c r="Z124" s="74" t="n">
        <x:f>IF(Y124="","",ABS(Y124))</x:f>
        <x:v>4.0200000000000005</x:v>
      </x:c>
      <x:c r="AA124" s="75" t="n">
        <x:f>IF(Z124="","",Z124/B124*100)</x:f>
        <x:v>36.38009049773756</x:v>
      </x:c>
      <x:c r="AB124" s="73" t="str"/>
    </x:row>
    <x:row r="125" ht="52.79999923706055" hidden="0" customHeight="1">
      <x:c r="A125" s="80" t="str">
        <x:v>Ammodytes hexapterus</x:v>
      </x:c>
      <x:c r="B125" s="74" t="n">
        <x:v>4.95</x:v>
      </x:c>
      <x:c r="C125" s="73" t="str">
        <x:v>Ammodytes</x:v>
      </x:c>
      <x:c r="D125" s="73" t="str">
        <x:v>Ammodytidae</x:v>
      </x:c>
      <x:c r="E125" s="73" t="str">
        <x:v>Small pelagic forage fishes</x:v>
      </x:c>
      <x:c r="F125" s="73" t="str">
        <x:v>Teleostei</x:v>
      </x:c>
      <x:c r="G125" s="74" t="n">
        <x:v>5.9</x:v>
      </x:c>
      <x:c r="H125" s="74" t="n">
        <x:f>IF(G125="","",G125-B125)</x:f>
        <x:v>0.9500000000000002</x:v>
      </x:c>
      <x:c r="I125" s="74" t="n">
        <x:f>IF(H125="","",ABS(H125))</x:f>
        <x:v>0.9500000000000002</x:v>
      </x:c>
      <x:c r="J125" s="75" t="n">
        <x:f>IF(I125="","",I125/B125*100)</x:f>
        <x:v>19.191919191919197</x:v>
      </x:c>
      <x:c r="K125" s="74" t="n">
        <x:v>5.8</x:v>
      </x:c>
      <x:c r="L125" s="74" t="n">
        <x:f>IF(K125="","",K125-B125)</x:f>
        <x:v>0.8499999999999996</x:v>
      </x:c>
      <x:c r="M125" s="74" t="n">
        <x:f>IF(L125="","",ABS(L125))</x:f>
        <x:v>0.8499999999999996</x:v>
      </x:c>
      <x:c r="N125" s="75" t="n">
        <x:f>IF(M125="","",M125/B125*100)</x:f>
        <x:v>17.171717171717162</x:v>
      </x:c>
      <x:c r="O125" s="74" t="n">
        <x:v>6.75</x:v>
      </x:c>
      <x:c r="P125" s="74" t="n">
        <x:f>IF(O125="","",O125-B125)</x:f>
        <x:v>1.7999999999999998</x:v>
      </x:c>
      <x:c r="Q125" s="74" t="n">
        <x:f>IF(P125="","",ABS(P125))</x:f>
        <x:v>1.7999999999999998</x:v>
      </x:c>
      <x:c r="R125" s="75" t="n">
        <x:f>IF(Q125="","",Q125/B125*100)</x:f>
        <x:v>36.36363636363636</x:v>
      </x:c>
      <x:c r="S125" s="74" t="n">
        <x:v>5.64</x:v>
      </x:c>
      <x:c r="T125" s="74" t="n">
        <x:f>IF(S125="","",S125-B125)</x:f>
        <x:v>0.6899999999999995</x:v>
      </x:c>
      <x:c r="U125" s="74" t="n">
        <x:f>IF(T125="","",ABS(T125))</x:f>
        <x:v>0.6899999999999995</x:v>
      </x:c>
      <x:c r="V125" s="75" t="n">
        <x:f>IF(U125="","",U125/B125*100)</x:f>
        <x:v>13.939393939393929</x:v>
      </x:c>
      <x:c r="W125" s="73" t="str">
        <x:f>IF(G125&lt;&gt;"","Genus",IF(K125&lt;&gt;"","Family",IF(O125&lt;&gt;"","Ecological proxy",IF(S125&lt;&gt;"","Broad","No fallback"))))</x:f>
        <x:v>Genus</x:v>
      </x:c>
      <x:c r="X125" s="74" t="n">
        <x:f>IF(G125&lt;&gt;"",G125,IF(K125&lt;&gt;"",K125,IF(O125&lt;&gt;"",O125,IF(S125&lt;&gt;"",S125,""))))</x:f>
        <x:v>5.9</x:v>
      </x:c>
      <x:c r="Y125" s="74" t="n">
        <x:f>IF(X125="","",X125-B125)</x:f>
        <x:v>0.9500000000000002</x:v>
      </x:c>
      <x:c r="Z125" s="74" t="n">
        <x:f>IF(Y125="","",ABS(Y125))</x:f>
        <x:v>0.9500000000000002</x:v>
      </x:c>
      <x:c r="AA125" s="75" t="n">
        <x:f>IF(Z125="","",Z125/B125*100)</x:f>
        <x:v>19.191919191919197</x:v>
      </x:c>
      <x:c r="AB125" s="73" t="str"/>
    </x:row>
    <x:row r="126" ht="52.79999923706055" hidden="0" customHeight="1">
      <x:c r="A126" s="80" t="str">
        <x:v>Cololabis saira</x:v>
      </x:c>
      <x:c r="B126" s="74" t="n">
        <x:v>7</x:v>
      </x:c>
      <x:c r="C126" s="73" t="str">
        <x:v>Cololabis</x:v>
      </x:c>
      <x:c r="D126" s="73" t="str">
        <x:v>Scomberesocidae</x:v>
      </x:c>
      <x:c r="E126" s="73" t="str">
        <x:v>Small pelagic forage fishes</x:v>
      </x:c>
      <x:c r="F126" s="73" t="str">
        <x:v>Teleostei</x:v>
      </x:c>
      <x:c r="G126" s="74"/>
      <x:c r="H126" s="74" t="str">
        <x:f>IF(G126="","",G126-B126)</x:f>
      </x:c>
      <x:c r="I126" s="74" t="str">
        <x:f>IF(H126="","",ABS(H126))</x:f>
      </x:c>
      <x:c r="J126" s="75" t="str">
        <x:f>IF(I126="","",I126/B126*100)</x:f>
      </x:c>
      <x:c r="K126" s="74" t="n">
        <x:v>5.8</x:v>
      </x:c>
      <x:c r="L126" s="74" t="n">
        <x:f>IF(K126="","",K126-B126)</x:f>
        <x:v>-1.2000000000000002</x:v>
      </x:c>
      <x:c r="M126" s="74" t="n">
        <x:f>IF(L126="","",ABS(L126))</x:f>
        <x:v>1.2000000000000002</x:v>
      </x:c>
      <x:c r="N126" s="75" t="n">
        <x:f>IF(M126="","",M126/B126*100)</x:f>
        <x:v>17.142857142857146</x:v>
      </x:c>
      <x:c r="O126" s="74" t="n">
        <x:v>6.74</x:v>
      </x:c>
      <x:c r="P126" s="74" t="n">
        <x:f>IF(O126="","",O126-B126)</x:f>
        <x:v>-0.2599999999999998</x:v>
      </x:c>
      <x:c r="Q126" s="74" t="n">
        <x:f>IF(P126="","",ABS(P126))</x:f>
        <x:v>0.2599999999999998</x:v>
      </x:c>
      <x:c r="R126" s="75" t="n">
        <x:f>IF(Q126="","",Q126/B126*100)</x:f>
        <x:v>3.714285714285711</x:v>
      </x:c>
      <x:c r="S126" s="74" t="n">
        <x:v>5.6</x:v>
      </x:c>
      <x:c r="T126" s="74" t="n">
        <x:f>IF(S126="","",S126-B126)</x:f>
        <x:v>-1.4000000000000004</x:v>
      </x:c>
      <x:c r="U126" s="74" t="n">
        <x:f>IF(T126="","",ABS(T126))</x:f>
        <x:v>1.4000000000000004</x:v>
      </x:c>
      <x:c r="V126" s="75" t="n">
        <x:f>IF(U126="","",U126/B126*100)</x:f>
        <x:v>20.000000000000004</x:v>
      </x:c>
      <x:c r="W126" s="73" t="str">
        <x:f>IF(G126&lt;&gt;"","Genus",IF(K126&lt;&gt;"","Family",IF(O126&lt;&gt;"","Ecological proxy",IF(S126&lt;&gt;"","Broad","No fallback"))))</x:f>
        <x:v>Family</x:v>
      </x:c>
      <x:c r="X126" s="74" t="n">
        <x:f>IF(G126&lt;&gt;"",G126,IF(K126&lt;&gt;"",K126,IF(O126&lt;&gt;"",O126,IF(S126&lt;&gt;"",S126,""))))</x:f>
        <x:v>5.8</x:v>
      </x:c>
      <x:c r="Y126" s="74" t="n">
        <x:f>IF(X126="","",X126-B126)</x:f>
        <x:v>-1.2000000000000002</x:v>
      </x:c>
      <x:c r="Z126" s="74" t="n">
        <x:f>IF(Y126="","",ABS(Y126))</x:f>
        <x:v>1.2000000000000002</x:v>
      </x:c>
      <x:c r="AA126" s="75" t="n">
        <x:f>IF(Z126="","",Z126/B126*100)</x:f>
        <x:v>17.142857142857146</x:v>
      </x:c>
      <x:c r="AB126" s="73" t="str"/>
    </x:row>
    <x:row r="127" ht="52.79999923706055" hidden="0" customHeight="1">
      <x:c r="A127" s="80" t="str">
        <x:v>Clupea pallasii</x:v>
      </x:c>
      <x:c r="B127" s="74" t="n">
        <x:v>7</x:v>
      </x:c>
      <x:c r="C127" s="73" t="str">
        <x:v>Clupea</x:v>
      </x:c>
      <x:c r="D127" s="73" t="str">
        <x:v>Clupeidae</x:v>
      </x:c>
      <x:c r="E127" s="73" t="str">
        <x:v>Small pelagic forage fishes</x:v>
      </x:c>
      <x:c r="F127" s="73" t="str">
        <x:v>Teleostei</x:v>
      </x:c>
      <x:c r="G127" s="74" t="n">
        <x:v>7.955</x:v>
      </x:c>
      <x:c r="H127" s="74" t="n">
        <x:f>IF(G127="","",G127-B127)</x:f>
        <x:v>0.9550000000000001</x:v>
      </x:c>
      <x:c r="I127" s="74" t="n">
        <x:f>IF(H127="","",ABS(H127))</x:f>
        <x:v>0.9550000000000001</x:v>
      </x:c>
      <x:c r="J127" s="75" t="n">
        <x:f>IF(I127="","",I127/B127*100)</x:f>
        <x:v>13.642857142857142</x:v>
      </x:c>
      <x:c r="K127" s="74" t="n">
        <x:v>6.87</x:v>
      </x:c>
      <x:c r="L127" s="74" t="n">
        <x:f>IF(K127="","",K127-B127)</x:f>
        <x:v>-0.1299999999999999</x:v>
      </x:c>
      <x:c r="M127" s="74" t="n">
        <x:f>IF(L127="","",ABS(L127))</x:f>
        <x:v>0.1299999999999999</x:v>
      </x:c>
      <x:c r="N127" s="75" t="n">
        <x:f>IF(M127="","",M127/B127*100)</x:f>
        <x:v>1.8571428571428554</x:v>
      </x:c>
      <x:c r="O127" s="74" t="n">
        <x:v>6.74</x:v>
      </x:c>
      <x:c r="P127" s="74" t="n">
        <x:f>IF(O127="","",O127-B127)</x:f>
        <x:v>-0.2599999999999998</x:v>
      </x:c>
      <x:c r="Q127" s="74" t="n">
        <x:f>IF(P127="","",ABS(P127))</x:f>
        <x:v>0.2599999999999998</x:v>
      </x:c>
      <x:c r="R127" s="75" t="n">
        <x:f>IF(Q127="","",Q127/B127*100)</x:f>
        <x:v>3.714285714285711</x:v>
      </x:c>
      <x:c r="S127" s="74" t="n">
        <x:v>5.6</x:v>
      </x:c>
      <x:c r="T127" s="74" t="n">
        <x:f>IF(S127="","",S127-B127)</x:f>
        <x:v>-1.4000000000000004</x:v>
      </x:c>
      <x:c r="U127" s="74" t="n">
        <x:f>IF(T127="","",ABS(T127))</x:f>
        <x:v>1.4000000000000004</x:v>
      </x:c>
      <x:c r="V127" s="75" t="n">
        <x:f>IF(U127="","",U127/B127*100)</x:f>
        <x:v>20.000000000000004</x:v>
      </x:c>
      <x:c r="W127" s="73" t="str">
        <x:f>IF(G127&lt;&gt;"","Genus",IF(K127&lt;&gt;"","Family",IF(O127&lt;&gt;"","Ecological proxy",IF(S127&lt;&gt;"","Broad","No fallback"))))</x:f>
        <x:v>Genus</x:v>
      </x:c>
      <x:c r="X127" s="74" t="n">
        <x:f>IF(G127&lt;&gt;"",G127,IF(K127&lt;&gt;"",K127,IF(O127&lt;&gt;"",O127,IF(S127&lt;&gt;"",S127,""))))</x:f>
        <x:v>7.955</x:v>
      </x:c>
      <x:c r="Y127" s="74" t="n">
        <x:f>IF(X127="","",X127-B127)</x:f>
        <x:v>0.9550000000000001</x:v>
      </x:c>
      <x:c r="Z127" s="74" t="n">
        <x:f>IF(Y127="","",ABS(Y127))</x:f>
        <x:v>0.9550000000000001</x:v>
      </x:c>
      <x:c r="AA127" s="75" t="n">
        <x:f>IF(Z127="","",Z127/B127*100)</x:f>
        <x:v>13.642857142857142</x:v>
      </x:c>
      <x:c r="AB127" s="73" t="str"/>
    </x:row>
    <x:row r="128" ht="52.79999923706055" hidden="0" customHeight="1">
      <x:c r="A128" s="80" t="str">
        <x:v>Pleurogrammus monopterygius</x:v>
      </x:c>
      <x:c r="B128" s="74" t="n">
        <x:v>4.02</x:v>
      </x:c>
      <x:c r="C128" s="73" t="str">
        <x:v>Pleurogrammus</x:v>
      </x:c>
      <x:c r="D128" s="73" t="str">
        <x:v>Hexagrammidae</x:v>
      </x:c>
      <x:c r="E128" s="73" t="str">
        <x:v>Other demersal fishes</x:v>
      </x:c>
      <x:c r="F128" s="73" t="str">
        <x:v>Teleostei</x:v>
      </x:c>
      <x:c r="G128" s="74"/>
      <x:c r="H128" s="74" t="str">
        <x:f>IF(G128="","",G128-B128)</x:f>
      </x:c>
      <x:c r="I128" s="74" t="str">
        <x:f>IF(H128="","",ABS(H128))</x:f>
      </x:c>
      <x:c r="J128" s="75" t="str">
        <x:f>IF(I128="","",I128/B128*100)</x:f>
      </x:c>
      <x:c r="K128" s="74" t="n">
        <x:v>3.98</x:v>
      </x:c>
      <x:c r="L128" s="74" t="n">
        <x:f>IF(K128="","",K128-B128)</x:f>
        <x:v>-0.03999999999999959</x:v>
      </x:c>
      <x:c r="M128" s="74" t="n">
        <x:f>IF(L128="","",ABS(L128))</x:f>
        <x:v>0.03999999999999959</x:v>
      </x:c>
      <x:c r="N128" s="75" t="n">
        <x:f>IF(M128="","",M128/B128*100)</x:f>
        <x:v>0.9950248756218805</x:v>
      </x:c>
      <x:c r="O128" s="74" t="n">
        <x:v>5.02</x:v>
      </x:c>
      <x:c r="P128" s="74" t="n">
        <x:f>IF(O128="","",O128-B128)</x:f>
        <x:v>1</x:v>
      </x:c>
      <x:c r="Q128" s="74" t="n">
        <x:f>IF(P128="","",ABS(P128))</x:f>
        <x:v>1</x:v>
      </x:c>
      <x:c r="R128" s="75" t="n">
        <x:f>IF(Q128="","",Q128/B128*100)</x:f>
        <x:v>24.87562189054727</x:v>
      </x:c>
      <x:c r="S128" s="74" t="n">
        <x:v>5.64</x:v>
      </x:c>
      <x:c r="T128" s="74" t="n">
        <x:f>IF(S128="","",S128-B128)</x:f>
        <x:v>1.62</x:v>
      </x:c>
      <x:c r="U128" s="74" t="n">
        <x:f>IF(T128="","",ABS(T128))</x:f>
        <x:v>1.62</x:v>
      </x:c>
      <x:c r="V128" s="75" t="n">
        <x:f>IF(U128="","",U128/B128*100)</x:f>
        <x:v>40.29850746268657</x:v>
      </x:c>
      <x:c r="W128" s="73" t="str">
        <x:f>IF(G128&lt;&gt;"","Genus",IF(K128&lt;&gt;"","Family",IF(O128&lt;&gt;"","Ecological proxy",IF(S128&lt;&gt;"","Broad","No fallback"))))</x:f>
        <x:v>Family</x:v>
      </x:c>
      <x:c r="X128" s="74" t="n">
        <x:f>IF(G128&lt;&gt;"",G128,IF(K128&lt;&gt;"",K128,IF(O128&lt;&gt;"",O128,IF(S128&lt;&gt;"",S128,""))))</x:f>
        <x:v>3.98</x:v>
      </x:c>
      <x:c r="Y128" s="74" t="n">
        <x:f>IF(X128="","",X128-B128)</x:f>
        <x:v>-0.03999999999999959</x:v>
      </x:c>
      <x:c r="Z128" s="74" t="n">
        <x:f>IF(Y128="","",ABS(Y128))</x:f>
        <x:v>0.03999999999999959</x:v>
      </x:c>
      <x:c r="AA128" s="75" t="n">
        <x:f>IF(Z128="","",Z128/B128*100)</x:f>
        <x:v>0.9950248756218805</x:v>
      </x:c>
      <x:c r="AB128" s="73" t="str"/>
    </x:row>
    <x:row r="129" ht="39.599998474121094" hidden="0" customHeight="1">
      <x:c r="A129" s="80" t="str">
        <x:v>Ophiodon elongatus</x:v>
      </x:c>
      <x:c r="B129" s="74" t="n">
        <x:v>3.98</x:v>
      </x:c>
      <x:c r="C129" s="73" t="str">
        <x:v>Ophiodon</x:v>
      </x:c>
      <x:c r="D129" s="73" t="str">
        <x:v>Hexagrammidae</x:v>
      </x:c>
      <x:c r="E129" s="73" t="str">
        <x:v>Other demersal fishes</x:v>
      </x:c>
      <x:c r="F129" s="73" t="str">
        <x:v>Teleostei</x:v>
      </x:c>
      <x:c r="G129" s="74"/>
      <x:c r="H129" s="74" t="str">
        <x:f>IF(G129="","",G129-B129)</x:f>
      </x:c>
      <x:c r="I129" s="74" t="str">
        <x:f>IF(H129="","",ABS(H129))</x:f>
      </x:c>
      <x:c r="J129" s="75" t="str">
        <x:f>IF(I129="","",I129/B129*100)</x:f>
      </x:c>
      <x:c r="K129" s="74" t="n">
        <x:v>4.02</x:v>
      </x:c>
      <x:c r="L129" s="74" t="n">
        <x:f>IF(K129="","",K129-B129)</x:f>
        <x:v>0.03999999999999959</x:v>
      </x:c>
      <x:c r="M129" s="74" t="n">
        <x:f>IF(L129="","",ABS(L129))</x:f>
        <x:v>0.03999999999999959</x:v>
      </x:c>
      <x:c r="N129" s="75" t="n">
        <x:f>IF(M129="","",M129/B129*100)</x:f>
        <x:v>1.0050251256281304</x:v>
      </x:c>
      <x:c r="O129" s="74" t="n">
        <x:v>5.02</x:v>
      </x:c>
      <x:c r="P129" s="74" t="n">
        <x:f>IF(O129="","",O129-B129)</x:f>
        <x:v>1.0399999999999996</x:v>
      </x:c>
      <x:c r="Q129" s="74" t="n">
        <x:f>IF(P129="","",ABS(P129))</x:f>
        <x:v>1.0399999999999996</x:v>
      </x:c>
      <x:c r="R129" s="75" t="n">
        <x:f>IF(Q129="","",Q129/B129*100)</x:f>
        <x:v>26.13065326633165</x:v>
      </x:c>
      <x:c r="S129" s="74" t="n">
        <x:v>5.64</x:v>
      </x:c>
      <x:c r="T129" s="74" t="n">
        <x:f>IF(S129="","",S129-B129)</x:f>
        <x:v>1.6599999999999997</x:v>
      </x:c>
      <x:c r="U129" s="74" t="n">
        <x:f>IF(T129="","",ABS(T129))</x:f>
        <x:v>1.6599999999999997</x:v>
      </x:c>
      <x:c r="V129" s="75" t="n">
        <x:f>IF(U129="","",U129/B129*100)</x:f>
        <x:v>41.70854271356783</x:v>
      </x:c>
      <x:c r="W129" s="73" t="str">
        <x:f>IF(G129&lt;&gt;"","Genus",IF(K129&lt;&gt;"","Family",IF(O129&lt;&gt;"","Ecological proxy",IF(S129&lt;&gt;"","Broad","No fallback"))))</x:f>
        <x:v>Family</x:v>
      </x:c>
      <x:c r="X129" s="74" t="n">
        <x:f>IF(G129&lt;&gt;"",G129,IF(K129&lt;&gt;"",K129,IF(O129&lt;&gt;"",O129,IF(S129&lt;&gt;"",S129,""))))</x:f>
        <x:v>4.02</x:v>
      </x:c>
      <x:c r="Y129" s="74" t="n">
        <x:f>IF(X129="","",X129-B129)</x:f>
        <x:v>0.03999999999999959</x:v>
      </x:c>
      <x:c r="Z129" s="74" t="n">
        <x:f>IF(Y129="","",ABS(Y129))</x:f>
        <x:v>0.03999999999999959</x:v>
      </x:c>
      <x:c r="AA129" s="75" t="n">
        <x:f>IF(Z129="","",Z129/B129*100)</x:f>
        <x:v>1.0050251256281304</x:v>
      </x:c>
      <x:c r="AB129" s="73" t="str"/>
    </x:row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AA2:AA12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6.399999618530273" hidden="0" customHeight="1">
      <x:c r="A1" s="59" t="str">
        <x:v>Item</x:v>
      </x:c>
      <x:c r="B1" s="59" t="str">
        <x:v>Definition / rule</x:v>
      </x:c>
    </x:row>
    <x:row r="2" ht="132" hidden="0" customHeight="1">
      <x:c r="A2" s="14" t="str">
        <x:v>Purpose</x:v>
      </x:c>
      <x:c r="B2" s="15" t="str">
        <x:v>Preliminary leave-one-taxon-out validation of the ED fallback hierarchy used by PECC.</x:v>
      </x:c>
    </x:row>
    <x:row r="3" ht="105.5999984741211" hidden="0" customHeight="1">
      <x:c r="A3" s="14" t="str">
        <x:v>Input</x:v>
      </x:c>
      <x:c r="B3" s="15" t="str">
        <x:v>EnergyDB_Final: 187 records; Lookup_Defaults: 384 entries.</x:v>
      </x:c>
    </x:row>
    <x:row r="4" ht="237.60000610351562" hidden="0" customHeight="1">
      <x:c r="A4" s="14" t="str">
        <x:v>Algorithm verification</x:v>
      </x:c>
      <x:c r="B4" s="15" t="str">
        <x:v>The current lookup-generation logic was reconstructed from EnergyDB_Final and reproduced all 384/384 Lookup_Defaults recommended ED values exactly.</x:v>
      </x:c>
    </x:row>
    <x:row r="5" ht="237.60000610351562" hidden="0" customHeight="1">
      <x:c r="A5" s="14" t="str">
        <x:v>Eligible targets</x:v>
      </x:c>
      <x:c r="B5" s="15" t="str">
        <x:v>Species-specific binomials represented as ExactTaxon entries with a standardized genus. Pooled sp./spp. labels were excluded as validation targets.</x:v>
      </x:c>
    </x:row>
    <x:row r="6" ht="39.599998474121094" hidden="0" customHeight="1">
      <x:c r="A6" s="14" t="str">
        <x:v>Number of targets</x:v>
      </x:c>
      <x:c r="B6" s="15" t="str">
        <x:v>128 species-specific taxa.</x:v>
      </x:c>
    </x:row>
    <x:row r="7" ht="290.3999938964844" hidden="0" customHeight="1">
      <x:c r="A7" s="14" t="str">
        <x:v>Observed ED</x:v>
      </x:c>
      <x:c r="B7" s="15" t="str">
        <x:v>Same exact-taxon rule as PECC: overall records are preferred; if multiple overall values exist, their median is used. If no overall record exists, the median of available taxon records is used.</x:v>
      </x:c>
    </x:row>
    <x:row r="8" ht="224.39999389648438" hidden="0" customHeight="1">
      <x:c r="A8" s="14" t="str">
        <x:v>Leave-one-taxon-out</x:v>
      </x:c>
      <x:c r="B8" s="15" t="str">
        <x:v>For each target, all rows with that Taxon_name are removed, then Exact/Genus/Family/Proxy/Broad lookup values are rebuilt from the remaining database.</x:v>
      </x:c>
    </x:row>
    <x:row r="9" ht="118.80000305175781" hidden="0" customHeight="1">
      <x:c r="A9" s="14" t="str">
        <x:v>Genus prediction</x:v>
      </x:c>
      <x:c r="B9" s="15" t="str">
        <x:v>Median of remaining exact-taxon recommendations within the same genus.</x:v>
      </x:c>
    </x:row>
    <x:row r="10" ht="211.1999969482422" hidden="0" customHeight="1">
      <x:c r="A10" s="14" t="str">
        <x:v>Family prediction</x:v>
      </x:c>
      <x:c r="B10" s="15" t="str">
        <x:v>Direct family-level ED is preferred when present; otherwise median of remaining exact-taxon recommendations within the same family.</x:v>
      </x:c>
    </x:row>
    <x:row r="11" ht="264" hidden="0" customHeight="1">
      <x:c r="A11" s="14" t="str">
        <x:v>Ecological proxy prediction</x:v>
      </x:c>
      <x:c r="B11" s="15" t="str">
        <x:v>Direct non-species group-level ED is preferred when present; otherwise median of remaining exact-taxon recommendations within the same energy proxy group.</x:v>
      </x:c>
    </x:row>
    <x:row r="12" ht="290.3999938964844" hidden="0" customHeight="1">
      <x:c r="A12" s="14" t="str">
        <x:v>Broad prediction</x:v>
      </x:c>
      <x:c r="B12" s="15" t="str">
        <x:v>Median of remaining exact-taxon recommendations within the same broad taxonomic group; unresolved group-level records are used only when no exact taxa remain in that broad group.</x:v>
      </x:c>
    </x:row>
    <x:row r="13" ht="184.8000030517578" hidden="0" customHeight="1">
      <x:c r="A13" s="14" t="str">
        <x:v>Actual fallback</x:v>
      </x:c>
      <x:c r="B13" s="15" t="str">
        <x:v>First available result in the order Genus &gt; Family &gt; Ecological proxy &gt; Broad, after the target exact value is removed.</x:v>
      </x:c>
    </x:row>
    <x:row r="14" ht="118.80000305175781" hidden="0" customHeight="1">
      <x:c r="A14" s="14" t="str">
        <x:v>MAE</x:v>
      </x:c>
      <x:c r="B14" s="15" t="str">
        <x:v>Mean absolute error = mean(|Predicted ED - Observed ED|), kJ/g wet mass.</x:v>
      </x:c>
    </x:row>
    <x:row r="15" ht="145.1999969482422" hidden="0" customHeight="1">
      <x:c r="A15" s="14" t="str">
        <x:v>RMSE</x:v>
      </x:c>
      <x:c r="B15" s="15" t="str">
        <x:v>Root mean square error = sqrt(mean((Predicted ED - Observed ED)^2)), kJ/g wet mass.</x:v>
      </x:c>
    </x:row>
    <x:row r="16" ht="105.5999984741211" hidden="0" customHeight="1">
      <x:c r="A16" s="14" t="str">
        <x:v>MAPE</x:v>
      </x:c>
      <x:c r="B16" s="15" t="str">
        <x:v>Mean absolute percentage error = mean(|error| / Observed ED × 100).</x:v>
      </x:c>
    </x:row>
    <x:row r="17" ht="79.19999694824219" hidden="0" customHeight="1">
      <x:c r="A17" s="14" t="str">
        <x:v>Bias</x:v>
      </x:c>
      <x:c r="B17" s="15" t="str">
        <x:v>Mean(Predicted ED - Observed ED), kJ/g wet mass.</x:v>
      </x:c>
    </x:row>
    <x:row r="18" ht="330" hidden="0" customHeight="1">
      <x:c r="A18" s="14" t="str">
        <x:v>Important comparison rule</x:v>
      </x:c>
      <x:c r="B18" s="15" t="str">
        <x:v>Forced-level metrics use different numbers of taxa, so their raw MAE/RMSE should not be interpreted as a perfectly paired hierarchy test. The n=27 common-subset comparison is the fairer direct comparison.</x:v>
      </x:c>
    </x:row>
    <x:row r="19" ht="277.20001220703125" hidden="0" customHeight="1">
      <x:c r="A19" s="14" t="str">
        <x:v>Current conclusion</x:v>
      </x:c>
      <x:c r="B19" s="15" t="str">
        <x:v>The fixed hierarchy is not yet empirically validated as a strictly decreasing-accuracy sequence. Genus performs well, but Broad is unexpectedly competitive in the present database.</x:v>
      </x:c>
    </x:row>
    <x:row r="20" ht="316.79998779296875" hidden="0" customHeight="1">
      <x:c r="A20" s="14" t="str">
        <x:v>Recommended next step</x:v>
      </x:c>
      <x:c r="B20" s="15" t="str">
        <x:v>Expand taxon coverage, stratify validation by broad taxonomic group, and test alternative proxy definitions / fallback selection using an external or source-held-out dataset before a methods/software paper.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26.399999618530273" hidden="0" customHeight="1">
      <x:c r="A1" s="86" t="str">
        <x:v>Taxon</x:v>
      </x:c>
      <x:c r="B1" s="86" t="str">
        <x:v>Observed_ED</x:v>
      </x:c>
      <x:c r="C1" s="86" t="str">
        <x:v>Selected_level</x:v>
      </x:c>
      <x:c r="D1" s="86" t="str">
        <x:v>Predicted_ED</x:v>
      </x:c>
      <x:c r="E1" s="86" t="str">
        <x:v>Absolute_error</x:v>
      </x:c>
      <x:c r="F1" s="86" t="str">
        <x:v>APE_pct</x:v>
      </x:c>
      <x:c r="G1" s="86" t="str">
        <x:v>Broad_group</x:v>
      </x:c>
    </x:row>
    <x:row r="2" ht="26.399999618530273" hidden="0" customHeight="1">
      <x:c r="A2" s="88" t="str">
        <x:v>Serrivomer beanii</x:v>
      </x:c>
      <x:c r="B2" s="68" t="n">
        <x:v>2.1</x:v>
      </x:c>
      <x:c r="C2" s="68" t="str">
        <x:v>Ecological proxy</x:v>
      </x:c>
      <x:c r="D2" s="68" t="n">
        <x:v>4.92</x:v>
      </x:c>
      <x:c r="E2" s="68" t="n">
        <x:v>2.82</x:v>
      </x:c>
      <x:c r="F2" s="68" t="n">
        <x:v>134.28571428571428</x:v>
      </x:c>
      <x:c r="G2" s="15" t="str">
        <x:v>Teleostei</x:v>
      </x:c>
    </x:row>
    <x:row r="3" ht="39.599998474121094" hidden="0" customHeight="1">
      <x:c r="A3" s="88" t="str">
        <x:v>Xenodermichtys copei</x:v>
      </x:c>
      <x:c r="B3" s="68" t="n">
        <x:v>2.2</x:v>
      </x:c>
      <x:c r="C3" s="68" t="str">
        <x:v>Ecological proxy</x:v>
      </x:c>
      <x:c r="D3" s="68" t="n">
        <x:v>4.92</x:v>
      </x:c>
      <x:c r="E3" s="68" t="n">
        <x:v>2.7199999999999998</x:v>
      </x:c>
      <x:c r="F3" s="68" t="n">
        <x:v>123.63636363636361</x:v>
      </x:c>
      <x:c r="G3" s="15" t="str">
        <x:v>Teleostei</x:v>
      </x:c>
    </x:row>
    <x:row r="4" ht="52.79999923706055" hidden="0" customHeight="1">
      <x:c r="A4" s="88" t="str">
        <x:v>Phyllodoce novaehollandiae</x:v>
      </x:c>
      <x:c r="B4" s="68" t="n">
        <x:v>0.96</x:v>
      </x:c>
      <x:c r="C4" s="68" t="str">
        <x:v>Ecological proxy</x:v>
      </x:c>
      <x:c r="D4" s="68" t="n">
        <x:v>2.045</x:v>
      </x:c>
      <x:c r="E4" s="68" t="n">
        <x:v>1.085</x:v>
      </x:c>
      <x:c r="F4" s="68" t="n">
        <x:v>113.02083333333333</x:v>
      </x:c>
      <x:c r="G4" s="15" t="str">
        <x:v>Annelida</x:v>
      </x:c>
    </x:row>
    <x:row r="5" ht="52.79999923706055" hidden="0" customHeight="1">
      <x:c r="A5" s="88" t="str">
        <x:v>Aglaophamus australiensis</x:v>
      </x:c>
      <x:c r="B5" s="68" t="n">
        <x:v>1.06</x:v>
      </x:c>
      <x:c r="C5" s="68" t="str">
        <x:v>Ecological proxy</x:v>
      </x:c>
      <x:c r="D5" s="68" t="n">
        <x:v>2.045</x:v>
      </x:c>
      <x:c r="E5" s="68" t="n">
        <x:v>0.9849999999999999</x:v>
      </x:c>
      <x:c r="F5" s="68" t="n">
        <x:v>92.92452830188678</x:v>
      </x:c>
      <x:c r="G5" s="15" t="str">
        <x:v>Annelida</x:v>
      </x:c>
    </x:row>
    <x:row r="6" ht="26.399999618530273" hidden="0" customHeight="1">
      <x:c r="A6" s="88" t="str">
        <x:v>Normichthys operosa</x:v>
      </x:c>
      <x:c r="B6" s="68" t="n">
        <x:v>2.6</x:v>
      </x:c>
      <x:c r="C6" s="68" t="str">
        <x:v>Ecological proxy</x:v>
      </x:c>
      <x:c r="D6" s="68" t="n">
        <x:v>4.92</x:v>
      </x:c>
      <x:c r="E6" s="68" t="n">
        <x:v>2.32</x:v>
      </x:c>
      <x:c r="F6" s="68" t="n">
        <x:v>89.23076923076923</x:v>
      </x:c>
      <x:c r="G6" s="15" t="str">
        <x:v>Teleostei</x:v>
      </x:c>
    </x:row>
    <x:row r="7" ht="26.399999618530273" hidden="0" customHeight="1">
      <x:c r="A7" s="88" t="str">
        <x:v>Stomias boa</x:v>
      </x:c>
      <x:c r="B7" s="68" t="n">
        <x:v>2.8</x:v>
      </x:c>
      <x:c r="C7" s="68" t="str">
        <x:v>Ecological proxy</x:v>
      </x:c>
      <x:c r="D7" s="68" t="n">
        <x:v>4.92</x:v>
      </x:c>
      <x:c r="E7" s="68" t="n">
        <x:v>2.12</x:v>
      </x:c>
      <x:c r="F7" s="68" t="n">
        <x:v>75.71428571428572</x:v>
      </x:c>
      <x:c r="G7" s="15" t="str">
        <x:v>Teleostei</x:v>
      </x:c>
    </x:row>
    <x:row r="8" ht="39.599998474121094" hidden="0" customHeight="1">
      <x:c r="A8" s="88" t="str">
        <x:v>Lampanyctus crocodilus</x:v>
      </x:c>
      <x:c r="B8" s="68" t="n">
        <x:v>4.1</x:v>
      </x:c>
      <x:c r="C8" s="68" t="str">
        <x:v>Family</x:v>
      </x:c>
      <x:c r="D8" s="68" t="n">
        <x:v>7</x:v>
      </x:c>
      <x:c r="E8" s="68" t="n">
        <x:v>2.9000000000000004</x:v>
      </x:c>
      <x:c r="F8" s="68" t="n">
        <x:v>70.73170731707319</x:v>
      </x:c>
      <x:c r="G8" s="15" t="str">
        <x:v>Teleostei</x:v>
      </x:c>
    </x:row>
    <x:row r="9" ht="52.79999923706055" hidden="0" customHeight="1">
      <x:c r="A9" s="88" t="str">
        <x:v>Helicolenus dactylopterus</x:v>
      </x:c>
      <x:c r="B9" s="68" t="n">
        <x:v>9.2</x:v>
      </x:c>
      <x:c r="C9" s="68" t="str">
        <x:v>Family</x:v>
      </x:c>
      <x:c r="D9" s="68" t="n">
        <x:v>2.97</x:v>
      </x:c>
      <x:c r="E9" s="68" t="n">
        <x:v>6.229999999999999</x:v>
      </x:c>
      <x:c r="F9" s="68" t="n">
        <x:v>67.71739130434781</x:v>
      </x:c>
      <x:c r="G9" s="15" t="str">
        <x:v>Teleostei</x:v>
      </x:c>
    </x:row>
    <x:row r="10" ht="26.399999618530273" hidden="0" customHeight="1">
      <x:c r="A10" s="88" t="str">
        <x:v>Polybius henslowii</x:v>
      </x:c>
      <x:c r="B10" s="68" t="n">
        <x:v>4.2</x:v>
      </x:c>
      <x:c r="C10" s="68" t="str">
        <x:v>Family</x:v>
      </x:c>
      <x:c r="D10" s="68" t="n">
        <x:v>6.9</x:v>
      </x:c>
      <x:c r="E10" s="68" t="n">
        <x:v>2.7</x:v>
      </x:c>
      <x:c r="F10" s="68" t="n">
        <x:v>64.28571428571429</x:v>
      </x:c>
      <x:c r="G10" s="15" t="str">
        <x:v>Crustacea</x:v>
      </x:c>
    </x:row>
    <x:row r="11" ht="26.399999618530273" hidden="0" customHeight="1">
      <x:c r="A11" s="88" t="str">
        <x:v>Hyperlophus vittatus</x:v>
      </x:c>
      <x:c r="B11" s="68" t="n">
        <x:v>4.4399999999999995</x:v>
      </x:c>
      <x:c r="C11" s="68" t="str">
        <x:v>Family</x:v>
      </x:c>
      <x:c r="D11" s="68" t="n">
        <x:v>6.995</x:v>
      </x:c>
      <x:c r="E11" s="68" t="n">
        <x:v>2.5550000000000006</x:v>
      </x:c>
      <x:c r="F11" s="68" t="n">
        <x:v>57.545045045045065</x:v>
      </x:c>
      <x:c r="G11" s="15" t="str">
        <x:v>Teleostei</x:v>
      </x:c>
    </x:row>
    <x:row r="12" ht="26.399999618530273" hidden="0" customHeight="1">
      <x:c r="A12" s="88" t="str">
        <x:v>Mallotus villosus</x:v>
      </x:c>
      <x:c r="B12" s="68" t="n">
        <x:v>7.03</x:v>
      </x:c>
      <x:c r="C12" s="68" t="str">
        <x:v>Family</x:v>
      </x:c>
      <x:c r="D12" s="68" t="n">
        <x:v>11.05</x:v>
      </x:c>
      <x:c r="E12" s="68" t="n">
        <x:v>4.0200000000000005</x:v>
      </x:c>
      <x:c r="F12" s="68" t="n">
        <x:v>57.18349928876245</x:v>
      </x:c>
      <x:c r="G12" s="15" t="str">
        <x:v>Teleostei</x:v>
      </x:c>
    </x:row>
    <x:row r="13" ht="26.399999618530273" hidden="0" customHeight="1">
      <x:c r="A13" s="88" t="str">
        <x:v>Chimaera monstrosa</x:v>
      </x:c>
      <x:c r="B13" s="68" t="n">
        <x:v>3.9</x:v>
      </x:c>
      <x:c r="C13" s="68" t="str">
        <x:v>Broad</x:v>
      </x:c>
      <x:c r="D13" s="68" t="n">
        <x:v>6.050000000000001</x:v>
      </x:c>
      <x:c r="E13" s="68" t="n">
        <x:v>2.150000000000001</x:v>
      </x:c>
      <x:c r="F13" s="68" t="n">
        <x:v>55.12820512820515</x:v>
      </x:c>
      <x:c r="G13" s="15" t="str">
        <x:v>Chondrichthyes</x:v>
      </x:c>
    </x:row>
    <x:row r="14" ht="26.399999618530273" hidden="0" customHeight="1">
      <x:c r="A14" s="88" t="str">
        <x:v>Luabrinereis fragilis</x:v>
      </x:c>
      <x:c r="B14" s="68" t="n">
        <x:v>4.43</x:v>
      </x:c>
      <x:c r="C14" s="68" t="str">
        <x:v>Ecological proxy</x:v>
      </x:c>
      <x:c r="D14" s="68" t="n">
        <x:v>2.045</x:v>
      </x:c>
      <x:c r="E14" s="68" t="n">
        <x:v>2.385</x:v>
      </x:c>
      <x:c r="F14" s="68" t="n">
        <x:v>53.83747178329571</x:v>
      </x:c>
      <x:c r="G14" s="15" t="str">
        <x:v>Annelida</x:v>
      </x:c>
    </x:row>
    <x:row r="15" ht="52.79999923706055" hidden="0" customHeight="1">
      <x:c r="A15" s="88" t="str">
        <x:v>Pachygrapsus marmoratus</x:v>
      </x:c>
      <x:c r="B15" s="68" t="n">
        <x:v>5.8</x:v>
      </x:c>
      <x:c r="C15" s="68" t="str">
        <x:v>Ecological proxy</x:v>
      </x:c>
      <x:c r="D15" s="68" t="n">
        <x:v>3.07</x:v>
      </x:c>
      <x:c r="E15" s="68" t="n">
        <x:v>2.73</x:v>
      </x:c>
      <x:c r="F15" s="68" t="n">
        <x:v>47.06896551724138</x:v>
      </x:c>
      <x:c r="G15" s="15" t="str">
        <x:v>Crustacea</x:v>
      </x:c>
    </x:row>
    <x:row r="16" ht="26.399999618530273" hidden="0" customHeight="1">
      <x:c r="A16" s="88" t="str">
        <x:v>Amarinus laevis</x:v>
      </x:c>
      <x:c r="B16" s="68" t="n">
        <x:v>2.13</x:v>
      </x:c>
      <x:c r="C16" s="68" t="str">
        <x:v>Ecological proxy</x:v>
      </x:c>
      <x:c r="D16" s="68" t="n">
        <x:v>3.07</x:v>
      </x:c>
      <x:c r="E16" s="68" t="n">
        <x:v>0.94</x:v>
      </x:c>
      <x:c r="F16" s="68" t="n">
        <x:v>44.13145539906103</x:v>
      </x:c>
      <x:c r="G16" s="15" t="str">
        <x:v>Crustacea</x:v>
      </x:c>
    </x:row>
    <x:row r="17" ht="26.399999618530273" hidden="0" customHeight="1">
      <x:c r="A17" s="88" t="str">
        <x:v>Atherina presbyter</x:v>
      </x:c>
      <x:c r="B17" s="68" t="n">
        <x:v>7.3</x:v>
      </x:c>
      <x:c r="C17" s="68" t="str">
        <x:v>Family</x:v>
      </x:c>
      <x:c r="D17" s="68" t="n">
        <x:v>4.23</x:v>
      </x:c>
      <x:c r="E17" s="68" t="n">
        <x:v>3.0699999999999994</x:v>
      </x:c>
      <x:c r="F17" s="68" t="n">
        <x:v>42.05479452054794</x:v>
      </x:c>
      <x:c r="G17" s="15" t="str">
        <x:v>Teleostei</x:v>
      </x:c>
    </x:row>
    <x:row r="18" ht="39.599998474121094" hidden="0" customHeight="1">
      <x:c r="A18" s="88" t="str">
        <x:v>Chelidonichthys cuculus</x:v>
      </x:c>
      <x:c r="B18" s="68" t="n">
        <x:v>8.2</x:v>
      </x:c>
      <x:c r="C18" s="68" t="str">
        <x:v>Ecological proxy</x:v>
      </x:c>
      <x:c r="D18" s="68" t="n">
        <x:v>4.92</x:v>
      </x:c>
      <x:c r="E18" s="68" t="n">
        <x:v>3.2799999999999994</x:v>
      </x:c>
      <x:c r="F18" s="68" t="n">
        <x:v>40</x:v>
      </x:c>
      <x:c r="G18" s="15" t="str">
        <x:v>Teleostei</x:v>
      </x:c>
    </x:row>
    <x:row r="19" ht="26.399999618530273" hidden="0" customHeight="1">
      <x:c r="A19" s="88" t="str">
        <x:v>Necora puber</x:v>
      </x:c>
      <x:c r="B19" s="68" t="n">
        <x:v>6.9</x:v>
      </x:c>
      <x:c r="C19" s="68" t="str">
        <x:v>Family</x:v>
      </x:c>
      <x:c r="D19" s="68" t="n">
        <x:v>4.2</x:v>
      </x:c>
      <x:c r="E19" s="68" t="n">
        <x:v>2.7</x:v>
      </x:c>
      <x:c r="F19" s="68" t="n">
        <x:v>39.130434782608695</x:v>
      </x:c>
      <x:c r="G19" s="15" t="str">
        <x:v>Crustacea</x:v>
      </x:c>
    </x:row>
    <x:row r="20" ht="39.599998474121094" hidden="0" customHeight="1">
      <x:c r="A20" s="88" t="str">
        <x:v>Clinocardium ciliatum</x:v>
      </x:c>
      <x:c r="B20" s="68" t="n">
        <x:v>1.57</x:v>
      </x:c>
      <x:c r="C20" s="68" t="str">
        <x:v>Ecological proxy</x:v>
      </x:c>
      <x:c r="D20" s="68" t="n">
        <x:v>2.15</x:v>
      </x:c>
      <x:c r="E20" s="68" t="n">
        <x:v>0.5799999999999998</x:v>
      </x:c>
      <x:c r="F20" s="68" t="n">
        <x:v>36.942675159235655</x:v>
      </x:c>
      <x:c r="G20" s="15" t="str">
        <x:v>Mollusca (non-cephalopods)</x:v>
      </x:c>
    </x:row>
    <x:row r="21" ht="39.599998474121094" hidden="0" customHeight="1">
      <x:c r="A21" s="88" t="str">
        <x:v>Thaleichthys pacificus</x:v>
      </x:c>
      <x:c r="B21" s="68" t="n">
        <x:v>11.05</x:v>
      </x:c>
      <x:c r="C21" s="68" t="str">
        <x:v>Family</x:v>
      </x:c>
      <x:c r="D21" s="68" t="n">
        <x:v>7.03</x:v>
      </x:c>
      <x:c r="E21" s="68" t="n">
        <x:v>4.0200000000000005</x:v>
      </x:c>
      <x:c r="F21" s="68" t="n">
        <x:v>36.38009049773756</x:v>
      </x:c>
      <x:c r="G21" s="15" t="str">
        <x:v>Teleostei</x:v>
      </x:c>
    </x:row>
    <x:row r="22"/>
    <x:row r="23"/>
    <x:row r="24" ht="39.599998474121094" hidden="0" customHeight="1">
      <x:c r="A24" s="94" t="str">
        <x:v>Excluded / special QC item</x:v>
      </x:c>
      <x:c r="B24" s="94" t="str">
        <x:v>Reason</x:v>
      </x:c>
    </x:row>
    <x:row r="25" ht="118.80000305175781" hidden="0" customHeight="1">
      <x:c r="A25" s="15" t="str">
        <x:v>Abarenicola sp.</x:v>
      </x:c>
      <x:c r="B25" s="15" t="str">
        <x:v>Pooled/unspecified species label; not a species-specific validation target.</x:v>
      </x:c>
    </x:row>
    <x:row r="26" ht="118.80000305175781" hidden="0" customHeight="1">
      <x:c r="A26" s="15" t="str">
        <x:v>Allotheutis spp</x:v>
      </x:c>
      <x:c r="B26" s="15" t="str">
        <x:v>Pooled/unspecified species label; not a species-specific validation target.</x:v>
      </x:c>
    </x:row>
    <x:row r="27" ht="118.80000305175781" hidden="0" customHeight="1">
      <x:c r="A27" s="15" t="str">
        <x:v>Axiothella sp.</x:v>
      </x:c>
      <x:c r="B27" s="15" t="str">
        <x:v>Pooled/unspecified species label; not a species-specific validation target.</x:v>
      </x:c>
    </x:row>
    <x:row r="28" ht="118.80000305175781" hidden="0" customHeight="1">
      <x:c r="A28" s="15" t="str">
        <x:v>Capitella sp.</x:v>
      </x:c>
      <x:c r="B28" s="15" t="str">
        <x:v>Pooled/unspecified species label; not a species-specific validation target.</x:v>
      </x:c>
    </x:row>
    <x:row r="29" ht="118.80000305175781" hidden="0" customHeight="1">
      <x:c r="A29" s="15" t="str">
        <x:v>Gaidropsarus spp</x:v>
      </x:c>
      <x:c r="B29" s="15" t="str">
        <x:v>Pooled/unspecified species label; not a species-specific validation target.</x:v>
      </x:c>
    </x:row>
    <x:row r="30" ht="118.80000305175781" hidden="0" customHeight="1">
      <x:c r="A30" s="15" t="str">
        <x:v>Salinator sp.</x:v>
      </x:c>
      <x:c r="B30" s="15" t="str">
        <x:v>Pooled/unspecified species label; not a species-specific validation target.</x:v>
      </x:c>
    </x:row>
    <x:row r="31" ht="118.80000305175781" hidden="0" customHeight="1">
      <x:c r="A31" s="15" t="str">
        <x:v>Sepiola spp</x:v>
      </x:c>
      <x:c r="B31" s="15" t="str">
        <x:v>Pooled/unspecified species label; not a species-specific validation target.</x:v>
      </x:c>
    </x:row>
    <x:row r="32" ht="171.60000610351562" hidden="0" customHeight="1">
      <x:c r="A32" s="15" t="str">
        <x:v>Bony fish</x:v>
      </x:c>
      <x:c r="B32" s="15" t="str">
        <x:v>Species-level source row but no standardized genus; excluded by the current PECC ExactTaxon lookup logic.</x:v>
      </x:c>
    </x:row>
    <x:row r="33" ht="237.60000610351562" hidden="0" customHeight="1">
      <x:c r="A33" s="15" t="str">
        <x:v>Aurelia aurita</x:v>
      </x:c>
      <x:c r="B33" s="15" t="str">
        <x:v>Valid target, but after removing it there is no remaining Cnidaria donor or unresolved broad-group record, so no fallback prediction is possible.</x:v>
      </x:c>
    </x:row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