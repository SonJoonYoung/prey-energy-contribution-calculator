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3.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b7264f9ab84fc6" /></Relationships>
</file>

<file path=xl/workbook.xml><?xml version="1.0" encoding="utf-8"?>
<x:workbook xmlns:x="http://schemas.openxmlformats.org/spreadsheetml/2006/main">
  <x:sheets>
    <x:sheet xmlns:r="http://schemas.openxmlformats.org/officeDocument/2006/relationships" name="Summary" sheetId="1" r:id="Re25b82e1996b4b45"/>
    <x:sheet xmlns:r="http://schemas.openxmlformats.org/officeDocument/2006/relationships" name="Source_Folds" sheetId="2" r:id="R301d05c2dd7c4065"/>
    <x:sheet xmlns:r="http://schemas.openxmlformats.org/officeDocument/2006/relationships" name="Fallback_Levels" sheetId="3" r:id="Rfa0bffa3b44349a3"/>
    <x:sheet xmlns:r="http://schemas.openxmlformats.org/officeDocument/2006/relationships" name="Target_Details" sheetId="4" r:id="Re721f8a0064a4d4a"/>
    <x:sheet xmlns:r="http://schemas.openxmlformats.org/officeDocument/2006/relationships" name="Fallback_Only" sheetId="5" r:id="R7d16696150724f57"/>
    <x:sheet xmlns:r="http://schemas.openxmlformats.org/officeDocument/2006/relationships" name="CrossSource_Exact" sheetId="6" r:id="Rae2ead2be0244af0"/>
    <x:sheet xmlns:r="http://schemas.openxmlformats.org/officeDocument/2006/relationships" name="No_Fallback" sheetId="7" r:id="R1d6ae99cd0304b71"/>
    <x:sheet xmlns:r="http://schemas.openxmlformats.org/officeDocument/2006/relationships" name="Method" sheetId="8" r:id="Re1c5a9e71d794cab"/>
    <x:sheet xmlns:r="http://schemas.openxmlformats.org/officeDocument/2006/relationships" name="QC" sheetId="9" r:id="Rcc9f25c98cbe435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
  </x:numFmts>
  <x:fonts count="6">
    <x:font>
      <x:sz val="11"/>
      <x:name val="Carlito"/>
    </x:font>
    <x:font>
      <x:b/>
      <x:sz val="14"/>
      <x:color rgb="FFFFFFFF"/>
      <x:name val="Carlito"/>
    </x:font>
    <x:font>
      <x:b/>
      <x:sz val="11"/>
      <x:color rgb="FF17365D"/>
      <x:name val="Carlito"/>
    </x:font>
    <x:font>
      <x:b/>
      <x:sz val="11"/>
      <x:color rgb="FFFFFFFF"/>
      <x:name val="Carlito"/>
    </x:font>
    <x:font>
      <x:sz val="11"/>
      <x:color rgb="FF404040"/>
      <x:name val="Carlito"/>
    </x:font>
    <x:font>
      <x:sz val="11"/>
      <x:color rgb="FF7F6000"/>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3F6F9"/>
      </x:patternFill>
    </x:fill>
    <x:fill>
      <x:patternFill patternType="solid">
        <x:fgColor rgb="FFFFF2CC"/>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200" fontId="2" fillId="3" borderId="0" xfId="0" applyNumberFormat="1" applyFont="1" applyFill="1" applyBorder="1" applyAlignment="1">
      <x:alignment vertical="center"/>
    </x:xf>
    <x:xf numFmtId="200" fontId="2" fillId="3" borderId="1" xfId="0" applyNumberFormat="1" applyFont="1" applyFill="1" applyBorder="1" applyAlignment="1">
      <x:alignment vertical="center"/>
    </x:xf>
    <x:xf numFmtId="201" fontId="2" fillId="3" borderId="0" xfId="0" applyNumberFormat="1" applyFont="1" applyFill="1" applyBorder="1" applyAlignment="1">
      <x:alignment vertical="center"/>
    </x:xf>
    <x:xf numFmtId="201" fontId="2" fillId="3" borderId="1" xfId="0" applyNumberFormat="1" applyFont="1" applyFill="1" applyBorder="1" applyAlignment="1">
      <x:alignment vertical="center"/>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0" fontId="2" fillId="3" borderId="0" xfId="0" applyNumberFormat="1" applyFont="1" applyFill="1" applyBorder="1" applyAlignment="1">
      <x:alignment vertical="center" wrapText="1"/>
    </x:xf>
    <x:xf numFmtId="201" fontId="2" fillId="3" borderId="0" xfId="0" applyNumberFormat="1" applyFont="1" applyFill="1" applyBorder="1" applyAlignment="1">
      <x:alignment vertical="center" wrapText="1"/>
    </x:xf>
    <x:xf numFmtId="200" fontId="2" fillId="3" borderId="1" xfId="0" applyNumberFormat="1" applyFont="1" applyFill="1" applyBorder="1" applyAlignment="1">
      <x:alignment vertical="center" wrapText="1"/>
    </x:xf>
    <x:xf numFmtId="201" fontId="2" fillId="3" borderId="1" xfId="0" applyNumberFormat="1" applyFont="1" applyFill="1" applyBorder="1" applyAlignment="1">
      <x:alignment vertical="center" wrapText="1"/>
    </x:xf>
  </x:cellXfs>
  <x:cellStyles count="1">
    <x:cellStyle name="Normal" xfId="0"/>
  </x:cellStyles>
  <x:dxfs count="3">
    <x:dxf>
      <x:font>
        <x:b/>
        <x:color rgb="FF9C0006"/>
      </x:font>
      <x:fill>
        <x:patternFill patternType="solid">
          <x:bgColor rgb="FFF4CCCC"/>
        </x:patternFill>
      </x:fill>
    </x:dxf>
    <x:dxf>
      <x:font>
        <x:b/>
        <x:color rgb="FF375623"/>
      </x:font>
      <x:fill>
        <x:patternFill patternType="solid">
          <x:bgColor rgb="FFE2F0D9"/>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8b92b716dc4794" /><Relationship Type="http://schemas.openxmlformats.org/officeDocument/2006/relationships/theme" Target="/xl/theme/theme1.xml" Id="Ra708bf6975d94864" /><Relationship Type="http://schemas.openxmlformats.org/officeDocument/2006/relationships/sharedStrings" Target="/xl/sharedStrings.xml" Id="R7c52fa1eb392492b" /><Relationship Type="http://schemas.openxmlformats.org/officeDocument/2006/relationships/worksheet" Target="/xl/worksheets/sheet1.xml" Id="Re25b82e1996b4b45" /><Relationship Type="http://schemas.openxmlformats.org/officeDocument/2006/relationships/worksheet" Target="/xl/worksheets/sheet2.xml" Id="R301d05c2dd7c4065" /><Relationship Type="http://schemas.openxmlformats.org/officeDocument/2006/relationships/worksheet" Target="/xl/worksheets/sheet3.xml" Id="Rfa0bffa3b44349a3" /><Relationship Type="http://schemas.openxmlformats.org/officeDocument/2006/relationships/worksheet" Target="/xl/worksheets/sheet4.xml" Id="Re721f8a0064a4d4a" /><Relationship Type="http://schemas.openxmlformats.org/officeDocument/2006/relationships/worksheet" Target="/xl/worksheets/sheet5.xml" Id="R7d16696150724f57" /><Relationship Type="http://schemas.openxmlformats.org/officeDocument/2006/relationships/worksheet" Target="/xl/worksheets/sheet6.xml" Id="Rae2ead2be0244af0" /><Relationship Type="http://schemas.openxmlformats.org/officeDocument/2006/relationships/worksheet" Target="/xl/worksheets/sheet7.xml" Id="R1d6ae99cd0304b71" /><Relationship Type="http://schemas.openxmlformats.org/officeDocument/2006/relationships/worksheet" Target="/xl/worksheets/sheet8.xml" Id="Re1c5a9e71d794cab" /><Relationship Type="http://schemas.openxmlformats.org/officeDocument/2006/relationships/worksheet" Target="/xl/worksheets/sheet9.xml" Id="Rcc9f25c98cbe435d" /></Relationships>
</file>

<file path=xl/drawings/_rels/drawing1.xml.rels>&#65279;<?xml version="1.0" encoding="utf-8"?><Relationships xmlns="http://schemas.openxmlformats.org/package/2006/relationships"><Relationship Type="http://schemas.openxmlformats.org/officeDocument/2006/relationships/chart" Target="/xl/drawings/charts/chart1.xml" Id="Rf5238421b2ed4ec0" /></Relationships>
</file>

<file path=xl/drawings/_rels/drawing2.xml.rels>&#65279;<?xml version="1.0" encoding="utf-8"?><Relationships xmlns="http://schemas.openxmlformats.org/package/2006/relationships"><Relationship Type="http://schemas.openxmlformats.org/officeDocument/2006/relationships/chart" Target="/xl/drawings/charts/chart2.xml" Id="R98a9ea33d1bc4937" /></Relationships>
</file>

<file path=xl/drawings/_rels/drawing3.xml.rels>&#65279;<?xml version="1.0" encoding="utf-8"?><Relationships xmlns="http://schemas.openxmlformats.org/package/2006/relationships"><Relationship Type="http://schemas.openxmlformats.org/officeDocument/2006/relationships/chart" Target="/xl/drawings/charts/chart3.xml" Id="R33bc3ef17b14488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MAE and RMSE by validation design</a:t>
            </a:r>
          </a:p>
        </c:rich>
      </c:tx>
    </c:title>
    <c:plotArea>
      <c:barChart>
        <c:barDir val="col"/>
        <c:grouping val="clustered"/>
        <c:varyColors val="0"/>
        <c:ser>
          <c:idx val="0"/>
          <c:order val="0"/>
          <c:tx>
            <c:v>MAE</c:v>
          </c:tx>
          <c:cat>
            <c:strRef>
              <c:f>'Summary'!$K$3:$K$5</c:f>
              <c:strCache>
                <c:ptCount val="0"/>
              </c:strCache>
            </c:strRef>
          </c:cat>
          <c:val>
            <c:numRef>
              <c:f>'Summary'!$L$3:$L$5</c:f>
              <c:numCache>
                <c:formatCode>General</c:formatCode>
                <c:ptCount val="0"/>
              </c:numCache>
            </c:numRef>
          </c:val>
        </c:ser>
        <c:ser>
          <c:idx val="1"/>
          <c:order val="1"/>
          <c:tx>
            <c:v>RMSE</c:v>
          </c:tx>
          <c:cat>
            <c:strRef>
              <c:f>'Summary'!$K$3:$K$5</c:f>
              <c:strCache>
                <c:ptCount val="0"/>
              </c:strCache>
            </c:strRef>
          </c:cat>
          <c:val>
            <c:numRef>
              <c:f>'Summary'!$M$3:$M$5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MAE by held-out source</a:t>
            </a:r>
          </a:p>
        </c:rich>
      </c:tx>
    </c:title>
    <c:plotArea>
      <c:barChart>
        <c:barDir val="col"/>
        <c:grouping val="clustered"/>
        <c:varyColors val="0"/>
        <c:ser>
          <c:idx val="0"/>
          <c:order val="0"/>
          <c:tx>
            <c:v>Series 1</c:v>
          </c:tx>
          <c:cat>
            <c:strLit>
              <c:ptCount val="1"/>
              <c:pt idx="0">
                <c:v>Item 1</c:v>
              </c:pt>
            </c:strLit>
          </c:cat>
          <c:val>
            <c:numLit>
              <c:formatCode>General</c:formatCode>
              <c:ptCount val="1"/>
              <c:pt idx="0">
                <c:v>0</c:v>
              </c:pt>
            </c:numLit>
          </c:val>
        </c:ser>
        <c:ser>
          <c:idx val="1"/>
          <c:order val="1"/>
          <c:tx>
            <c:v>MAE</c:v>
          </c:tx>
          <c:cat>
            <c:strRef>
              <c:f>'Source_Folds'!$A$2:$A$7</c:f>
              <c:strCache>
                <c:ptCount val="1"/>
                <c:pt idx="0">
                  <c:v>Item 1</c:v>
                </c:pt>
              </c:strCache>
            </c:strRef>
          </c:cat>
          <c:val>
            <c:numRef>
              <c:f>'Source_Folds'!$L$2:$L$7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Fallback MAE: source-out vs taxon-out</a:t>
            </a:r>
          </a:p>
        </c:rich>
      </c:tx>
    </c:title>
    <c:plotArea>
      <c:barChart>
        <c:barDir val="col"/>
        <c:grouping val="clustered"/>
        <c:varyColors val="0"/>
        <c:ser>
          <c:idx val="0"/>
          <c:order val="0"/>
          <c:tx>
            <c:v>Source-out MAE</c:v>
          </c:tx>
          <c:cat>
            <c:strRef>
              <c:f>'Fallback_Levels'!$J$2:$J$5</c:f>
              <c:strCache>
                <c:ptCount val="0"/>
              </c:strCache>
            </c:strRef>
          </c:cat>
          <c:val>
            <c:numRef>
              <c:f>'Fallback_Levels'!$K$2:$K$5</c:f>
              <c:numCache>
                <c:formatCode>General</c:formatCode>
                <c:ptCount val="0"/>
              </c:numCache>
            </c:numRef>
          </c:val>
        </c:ser>
        <c:ser>
          <c:idx val="1"/>
          <c:order val="1"/>
          <c:tx>
            <c:v>Taxon-out MAE</c:v>
          </c:tx>
          <c:cat>
            <c:strRef>
              <c:f>'Fallback_Levels'!$J$2:$J$5</c:f>
              <c:strCache>
                <c:ptCount val="0"/>
              </c:strCache>
            </c:strRef>
          </c:cat>
          <c:val>
            <c:numRef>
              <c:f>'Fallback_Levels'!$L$2:$L$5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6</xdr:row>
      <xdr:rowOff>0</xdr:rowOff>
    </xdr:from>
    <xdr:to>
      <xdr:col>18</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238421b2ed4ec0"/>
        </a:graphicData>
      </a:graphic>
    </xdr:graphicFrame>
    <xdr:clientData/>
  </xdr:twoCellAnchor>
</xdr:wsDr>
</file>

<file path=xl/drawings/drawing2.xml><?xml version="1.0" encoding="utf-8"?>
<xdr:wsDr xmlns:xdr="http://schemas.openxmlformats.org/drawingml/2006/spreadsheetDrawing">
  <xdr:twoCellAnchor>
    <xdr:from>
      <xdr:col>18</xdr:col>
      <xdr:colOff>0</xdr:colOff>
      <xdr:row>1</xdr:row>
      <xdr:rowOff>0</xdr:rowOff>
    </xdr:from>
    <xdr:to>
      <xdr:col>27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a9ea33d1bc4937"/>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6</xdr:row>
      <xdr:rowOff>0</xdr:rowOff>
    </xdr:from>
    <xdr:to>
      <xdr:col>17</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bc3ef17b14488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a2ebd463f5d4c65" /></Relationships>
</file>

<file path=xl/worksheets/_rels/sheet2.xml.rels>&#65279;<?xml version="1.0" encoding="utf-8"?><Relationships xmlns="http://schemas.openxmlformats.org/package/2006/relationships"><Relationship Type="http://schemas.openxmlformats.org/officeDocument/2006/relationships/drawing" Target="/xl/drawings/drawing2.xml" Id="Rd3e3c45b83814fb0" /></Relationships>
</file>

<file path=xl/worksheets/_rels/sheet3.xml.rels>&#65279;<?xml version="1.0" encoding="utf-8"?><Relationships xmlns="http://schemas.openxmlformats.org/package/2006/relationships"><Relationship Type="http://schemas.openxmlformats.org/officeDocument/2006/relationships/drawing" Target="/xl/drawings/drawing3.xml" Id="Rd098c910d5a44919" /></Relationships>
</file>

<file path=xl/worksheets/sheet1.xml><?xml version="1.0" encoding="utf-8"?>
<x:worksheet xmlns:x="http://schemas.openxmlformats.org/spreadsheetml/2006/main">
  <x:sheetFormatPr defaultRowHeight="15"/>
  <x:cols>
    <x:col min="1" max="1" width="42" hidden="0" customWidth="1"/>
    <x:col min="2" max="2" width="3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1" max="11" width="14.880000114440918" hidden="0" customWidth="1"/>
    <x:col min="12" max="12" width="10.25" hidden="0" customWidth="1"/>
    <x:col min="13" max="13" width="10.25" hidden="0" customWidth="1"/>
    <x:col min="14" max="14" width="10.25" hidden="0" customWidth="1"/>
  </x:cols>
  <x:sheetData>
    <x:row r="1" ht="16.799999237060547" hidden="0" customHeight="1">
      <x:c r="A1" s="5" t="str">
        <x:v>PECC Leave-One-Source-Out Validation</x:v>
      </x:c>
      <x:c r="B1" s="5"/>
      <x:c r="C1" s="5"/>
      <x:c r="D1" s="5"/>
      <x:c r="E1" s="5"/>
      <x:c r="F1" s="5"/>
      <x:c r="G1" s="5"/>
      <x:c r="H1" s="5"/>
      <x:c r="I1" s="5"/>
    </x:row>
    <x:row r="2" ht="15" hidden="0" customHeight="1">
      <x:c r="K2" t="str">
        <x:v>Validation</x:v>
      </x:c>
      <x:c r="L2" t="str">
        <x:v>MAE</x:v>
      </x:c>
      <x:c r="M2" t="str">
        <x:v>RMSE</x:v>
      </x:c>
      <x:c r="N2" t="str">
        <x:v>MAPE</x:v>
      </x:c>
    </x:row>
    <x:row r="3" ht="52.79999923706055" hidden="0" customHeight="1">
      <x:c r="A3" s="16" t="str">
        <x:v>Input database</x:v>
      </x:c>
      <x:c r="B3" s="17" t="str">
        <x:v>PECC v1.0.0 / prey_energy_db.xlsx</x:v>
      </x:c>
      <x:c r="K3" t="str">
        <x:v>Taxon-out</x:v>
      </x:c>
      <x:c r="L3" t="n">
        <x:v>1.0145669291338582</x:v>
      </x:c>
      <x:c r="M3" t="n">
        <x:v>1.41753279066074</x:v>
      </x:c>
      <x:c r="N3" t="n">
        <x:v>22.058025057405583</x:v>
      </x:c>
    </x:row>
    <x:row r="4" ht="39.599998474121094" hidden="0" customHeight="1">
      <x:c r="A4" s="16" t="str">
        <x:v>EnergyDB_Final records</x:v>
      </x:c>
      <x:c r="B4" s="17" t="n">
        <x:v>187</x:v>
      </x:c>
      <x:c r="K4" t="str">
        <x:v>Source-out all</x:v>
      </x:c>
      <x:c r="L4" t="n">
        <x:v>1.125</x:v>
      </x:c>
      <x:c r="M4" t="n">
        <x:v>1.556623320778247</x:v>
      </x:c>
      <x:c r="N4" t="n">
        <x:v>26.994365346355206</x:v>
      </x:c>
    </x:row>
    <x:row r="5" ht="52.79999923706055" hidden="0" customHeight="1">
      <x:c r="A5" s="16" t="str">
        <x:v>Independent literature sources</x:v>
      </x:c>
      <x:c r="B5" s="17" t="n">
        <x:v>6</x:v>
      </x:c>
      <x:c r="K5" t="str">
        <x:v>Source-out fallback</x:v>
      </x:c>
      <x:c r="L5" t="n">
        <x:v>1.0971848739495798</x:v>
      </x:c>
      <x:c r="M5" t="n">
        <x:v>1.4850821922193596</x:v>
      </x:c>
      <x:c r="N5" t="n">
        <x:v>27.474951045082758</x:v>
      </x:c>
    </x:row>
    <x:row r="6" ht="39.599998474121094" hidden="0" customHeight="1">
      <x:c r="A6" s="16" t="str">
        <x:v>Unique species-specific taxa</x:v>
      </x:c>
      <x:c r="B6" s="17" t="n">
        <x:v>128</x:v>
      </x:c>
    </x:row>
    <x:row r="7" ht="52.79999923706055" hidden="0" customHeight="1">
      <x:c r="A7" s="16" t="str">
        <x:v>Source × taxon validation targets</x:v>
      </x:c>
      <x:c r="B7" s="17" t="n">
        <x:v>133</x:v>
      </x:c>
    </x:row>
    <x:row r="8" ht="66" hidden="0" customHeight="1">
      <x:c r="A8" s="16" t="str">
        <x:v>Lookup reconstruction agreement</x:v>
      </x:c>
      <x:c r="B8" s="17" t="str">
        <x:v>384 / 384 (100%)</x:v>
      </x:c>
    </x:row>
    <x:row r="9" ht="66" hidden="0" customHeight="1">
      <x:c r="A9" s="16" t="str">
        <x:v>Held-out unit</x:v>
      </x:c>
      <x:c r="B9" s="17" t="str">
        <x:v>Entire literature source (Source_short)</x:v>
      </x:c>
    </x:row>
    <x:row r="10"/>
    <x:row r="11" ht="15" hidden="0" customHeight="1">
      <x:c r="A11" s="12" t="str">
        <x:v>Primary results</x:v>
      </x:c>
      <x:c r="B11" s="12"/>
      <x:c r="C11" s="12"/>
      <x:c r="D11" s="12"/>
      <x:c r="E11" s="12"/>
      <x:c r="F11" s="12"/>
      <x:c r="G11" s="12"/>
      <x:c r="H11" s="12"/>
      <x:c r="I11" s="12"/>
    </x:row>
    <x:row r="12" ht="26.399999618530273" hidden="0" customHeight="1">
      <x:c r="A12" s="24" t="str">
        <x:v>Analysis</x:v>
      </x:c>
      <x:c r="B12" s="24" t="str">
        <x:v>Predicted / targets</x:v>
      </x:c>
      <x:c r="C12" s="24" t="str">
        <x:v>Coverage (%)</x:v>
      </x:c>
      <x:c r="D12" s="24" t="str">
        <x:v>MAE (kJ/g)</x:v>
      </x:c>
      <x:c r="E12" s="24" t="str">
        <x:v>RMSE (kJ/g)</x:v>
      </x:c>
      <x:c r="F12" s="24" t="str">
        <x:v>MAPE (%)</x:v>
      </x:c>
      <x:c r="G12" s="24" t="str">
        <x:v>Median APE (%)</x:v>
      </x:c>
      <x:c r="H12" s="24" t="str">
        <x:v>Bias (kJ/g)</x:v>
      </x:c>
      <x:c r="I12" s="24" t="str">
        <x:v>Pearson r</x:v>
      </x:c>
    </x:row>
    <x:row r="13" ht="15" hidden="0" customHeight="1">
      <x:c r="A13" t="str">
        <x:v>All source-held-out targets</x:v>
      </x:c>
      <x:c r="B13" t="str">
        <x:v>129 / 133</x:v>
      </x:c>
      <x:c r="C13" s="30" t="n">
        <x:v>96.99248120300751</x:v>
      </x:c>
      <x:c r="D13" s="32" t="n">
        <x:v>1.125</x:v>
      </x:c>
      <x:c r="E13" s="32" t="n">
        <x:v>1.556623320778247</x:v>
      </x:c>
      <x:c r="F13" s="30" t="n">
        <x:v>26.994365346355206</x:v>
      </x:c>
      <x:c r="G13" s="30" t="n">
        <x:v>18.181818181818176</x:v>
      </x:c>
      <x:c r="H13" s="32" t="n">
        <x:v>-0.17344961240310072</x:v>
      </x:c>
      <x:c r="I13" s="32" t="n">
        <x:v>0.5686680992584194</x:v>
      </x:c>
    </x:row>
    <x:row r="14" ht="15" hidden="0" customHeight="1">
      <x:c r="A14" t="str">
        <x:v>Fallback-only: exact taxon absent from remaining sources</x:v>
      </x:c>
      <x:c r="B14" t="str">
        <x:v>119 / 123</x:v>
      </x:c>
      <x:c r="C14" s="30" t="n">
        <x:v>96.7479674796748</x:v>
      </x:c>
      <x:c r="D14" s="32" t="n">
        <x:v>1.0971848739495798</x:v>
      </x:c>
      <x:c r="E14" s="32" t="n">
        <x:v>1.4850821922193596</x:v>
      </x:c>
      <x:c r="F14" s="30" t="n">
        <x:v>27.474951045082758</x:v>
      </x:c>
      <x:c r="G14" s="30" t="n">
        <x:v>18.360655737704906</x:v>
      </x:c>
      <x:c r="H14" s="32" t="n">
        <x:v>-0.18802521008403356</x:v>
      </x:c>
      <x:c r="I14" s="32" t="n">
        <x:v>0.5964500185083366</x:v>
      </x:c>
    </x:row>
    <x:row r="15" ht="15" hidden="0" customHeight="1">
      <x:c r="A15" t="str">
        <x:v>Cross-source exact-taxon overlap</x:v>
      </x:c>
      <x:c r="B15" t="str">
        <x:v>10 / 10</x:v>
      </x:c>
      <x:c r="C15" s="30" t="n">
        <x:v>100</x:v>
      </x:c>
      <x:c r="D15" s="32" t="n">
        <x:v>1.4559999999999997</x:v>
      </x:c>
      <x:c r="E15" s="32" t="n">
        <x:v>2.2388836503936504</x:v>
      </x:c>
      <x:c r="F15" s="30" t="n">
        <x:v>21.275395531497306</x:v>
      </x:c>
      <x:c r="G15" s="30" t="n">
        <x:v>9.027325959661667</x:v>
      </x:c>
      <x:c r="H15" s="32" t="n">
        <x:v>0</x:v>
      </x:c>
      <x:c r="I15" s="32" t="n">
        <x:v>0.046031646947590675</x:v>
      </x:c>
    </x:row>
    <x:row r="16"/>
    <x:row r="17" ht="15" hidden="0" customHeight="1">
      <x:c r="A17" s="12" t="str">
        <x:v>Comparison with previous leave-one-taxon-out validation</x:v>
      </x:c>
      <x:c r="B17" s="12"/>
      <x:c r="C17" s="12"/>
      <x:c r="D17" s="12"/>
      <x:c r="E17" s="12"/>
      <x:c r="F17" s="12"/>
      <x:c r="G17" s="12"/>
      <x:c r="H17" s="12"/>
      <x:c r="I17" s="12"/>
    </x:row>
    <x:row r="18" ht="52.79999923706055" hidden="0" customHeight="1">
      <x:c r="A18" s="24" t="str">
        <x:v>Validation</x:v>
      </x:c>
      <x:c r="B18" s="24" t="str">
        <x:v>Predicted / targets</x:v>
      </x:c>
      <x:c r="C18" s="24" t="str">
        <x:v>Coverage (%)</x:v>
      </x:c>
      <x:c r="D18" s="24" t="str">
        <x:v>MAE (kJ/g)</x:v>
      </x:c>
      <x:c r="E18" s="24" t="str">
        <x:v>RMSE (kJ/g)</x:v>
      </x:c>
      <x:c r="F18" s="24" t="str">
        <x:v>MAPE (%)</x:v>
      </x:c>
      <x:c r="H18" s="24" t="str">
        <x:v>Error increase vs taxon-out</x:v>
      </x:c>
      <x:c r="I18" s="24" t="str">
        <x:v>%</x:v>
      </x:c>
    </x:row>
    <x:row r="19" ht="15" hidden="0" customHeight="1">
      <x:c r="A19" t="str">
        <x:v>Leave-one-taxon-out</x:v>
      </x:c>
      <x:c r="B19" t="str">
        <x:v>127 / 128</x:v>
      </x:c>
      <x:c r="C19" s="30" t="n">
        <x:v>99.21875</x:v>
      </x:c>
      <x:c r="D19" s="32" t="n">
        <x:v>1.0145669291338582</x:v>
      </x:c>
      <x:c r="E19" s="32" t="n">
        <x:v>1.41753279066074</x:v>
      </x:c>
      <x:c r="F19" s="30" t="n">
        <x:v>22.058025057405583</x:v>
      </x:c>
      <x:c r="H19" t="str">
        <x:v>MAE</x:v>
      </x:c>
      <x:c r="I19" s="30" t="n">
        <x:v>8.143173450986918</x:v>
      </x:c>
    </x:row>
    <x:row r="20" ht="15" hidden="0" customHeight="1">
      <x:c r="A20" t="str">
        <x:v>Leave-one-source-out (fallback-only)</x:v>
      </x:c>
      <x:c r="B20" t="str">
        <x:v>119 / 123</x:v>
      </x:c>
      <x:c r="C20" s="30" t="n">
        <x:v>96.7479674796748</x:v>
      </x:c>
      <x:c r="D20" s="32" t="n">
        <x:v>1.0971848739495798</x:v>
      </x:c>
      <x:c r="E20" s="32" t="n">
        <x:v>1.4850821922193596</x:v>
      </x:c>
      <x:c r="F20" s="30" t="n">
        <x:v>27.474951045082758</x:v>
      </x:c>
      <x:c r="H20" t="str">
        <x:v>RMSE</x:v>
      </x:c>
      <x:c r="I20" s="30" t="n">
        <x:v>4.765279646697507</x:v>
      </x:c>
    </x:row>
    <x:row r="21" ht="15" hidden="0" customHeight="1">
      <x:c r="H21" t="str">
        <x:v>MAPE</x:v>
      </x:c>
      <x:c r="I21" s="30" t="n">
        <x:v>24.55762006607449</x:v>
      </x:c>
    </x:row>
    <x:row r="22"/>
    <x:row r="23" ht="15" hidden="0" customHeight="1">
      <x:c r="A23" s="12" t="str">
        <x:v>Interpretation</x:v>
      </x:c>
      <x:c r="B23" s="12"/>
      <x:c r="C23" s="12"/>
      <x:c r="D23" s="12"/>
      <x:c r="E23" s="12"/>
      <x:c r="F23" s="12"/>
      <x:c r="G23" s="12"/>
      <x:c r="H23" s="12"/>
      <x:c r="I23" s="12"/>
    </x:row>
    <x:row r="24">
      <x:c r="A24" s="37" t="str">
        <x:v>Holding out entire literature sources produced slightly larger errors than leave-one-taxon-out validation, as expected under stricter source separation. In the fallback-only subset, MAE was 1.097 kJ/g and RMSE was 1.485 kJ/g, while coverage remained 96.75%. Genus-level fallback remained the most stable taxonomic fallback (MAE 0.817 kJ/g; MAPE 14.63%). Family and lower-level fallback errors were larger. The higher MAPE for some folds, especially Nitschke et al. 2026, is partly driven by low-energy annelid/invertebrate taxa, for which small absolute deviations translate into large percentage errors. Five taxa occurred in more than one source; their cross-source exact-taxon comparison also revealed substantial between-study variation for some species (notably Clupea harengus and Scomber scombrus).</x:v>
      </x:c>
      <x:c r="B24" s="37"/>
      <x:c r="C24" s="37"/>
      <x:c r="D24" s="37"/>
      <x:c r="E24" s="37"/>
      <x:c r="F24" s="37"/>
      <x:c r="G24" s="37"/>
      <x:c r="H24" s="37"/>
      <x:c r="I24" s="37"/>
    </x:row>
    <x:row r="25">
      <x:c r="A25" s="37"/>
      <x:c r="B25" s="37"/>
      <x:c r="C25" s="37"/>
      <x:c r="D25" s="37"/>
      <x:c r="E25" s="37"/>
      <x:c r="F25" s="37"/>
      <x:c r="G25" s="37"/>
      <x:c r="H25" s="37"/>
      <x:c r="I25" s="37"/>
    </x:row>
    <x:row r="26">
      <x:c r="A26" s="37"/>
      <x:c r="B26" s="37"/>
      <x:c r="C26" s="37"/>
      <x:c r="D26" s="37"/>
      <x:c r="E26" s="37"/>
      <x:c r="F26" s="37"/>
      <x:c r="G26" s="37"/>
      <x:c r="H26" s="37"/>
      <x:c r="I26" s="37"/>
    </x:row>
    <x:row r="27">
      <x:c r="A27" s="37"/>
      <x:c r="B27" s="37"/>
      <x:c r="C27" s="37"/>
      <x:c r="D27" s="37"/>
      <x:c r="E27" s="37"/>
      <x:c r="F27" s="37"/>
      <x:c r="G27" s="37"/>
      <x:c r="H27" s="37"/>
      <x:c r="I27" s="37"/>
    </x:row>
    <x:row r="28">
      <x:c r="A28" s="37"/>
      <x:c r="B28" s="37"/>
      <x:c r="C28" s="37"/>
      <x:c r="D28" s="37"/>
      <x:c r="E28" s="37"/>
      <x:c r="F28" s="37"/>
      <x:c r="G28" s="37"/>
      <x:c r="H28" s="37"/>
      <x:c r="I28" s="37"/>
    </x:row>
    <x:row r="29"/>
    <x:row r="30" ht="15" hidden="0" customHeight="1">
      <x:c r="A30" s="12" t="str">
        <x:v>Important limitation</x:v>
      </x:c>
      <x:c r="B30" s="12"/>
      <x:c r="C30" s="12"/>
      <x:c r="D30" s="12"/>
      <x:c r="E30" s="12"/>
      <x:c r="F30" s="12"/>
      <x:c r="G30" s="12"/>
      <x:c r="H30" s="12"/>
      <x:c r="I30" s="12"/>
    </x:row>
    <x:row r="31">
      <x:c r="A31" s="44" t="str">
        <x:v>This analysis is a source-held-out cross-validation, not a fully independent external validation. All six sources still belong to the same compiled literature database. The analysis nevertheless removes all measurements, family/group values, and taxon records from one publication at a time, reducing source-level information leakage compared with leave-one-taxon-out validation.</x:v>
      </x:c>
      <x:c r="B31" s="44"/>
      <x:c r="C31" s="44"/>
      <x:c r="D31" s="44"/>
      <x:c r="E31" s="44"/>
      <x:c r="F31" s="44"/>
      <x:c r="G31" s="44"/>
      <x:c r="H31" s="44"/>
      <x:c r="I31" s="44"/>
    </x:row>
    <x:row r="32">
      <x:c r="A32" s="44"/>
      <x:c r="B32" s="44"/>
      <x:c r="C32" s="44"/>
      <x:c r="D32" s="44"/>
      <x:c r="E32" s="44"/>
      <x:c r="F32" s="44"/>
      <x:c r="G32" s="44"/>
      <x:c r="H32" s="44"/>
      <x:c r="I32" s="44"/>
    </x:row>
    <x:row r="33">
      <x:c r="A33" s="44"/>
      <x:c r="B33" s="44"/>
      <x:c r="C33" s="44"/>
      <x:c r="D33" s="44"/>
      <x:c r="E33" s="44"/>
      <x:c r="F33" s="44"/>
      <x:c r="G33" s="44"/>
      <x:c r="H33" s="44"/>
      <x:c r="I33" s="44"/>
    </x:row>
    <x:row r="34">
      <x:c r="A34" s="44"/>
      <x:c r="B34" s="44"/>
      <x:c r="C34" s="44"/>
      <x:c r="D34" s="44"/>
      <x:c r="E34" s="44"/>
      <x:c r="F34" s="44"/>
      <x:c r="G34" s="44"/>
      <x:c r="H34" s="44"/>
      <x:c r="I34" s="44"/>
    </x:row>
  </x:sheetData>
  <x:mergeCells>
    <x:mergeCell ref="A1:I1"/>
    <x:mergeCell ref="A11:I11"/>
    <x:mergeCell ref="A17:I17"/>
    <x:mergeCell ref="A23:I23"/>
    <x:mergeCell ref="A24:I28"/>
    <x:mergeCell ref="A30:I30"/>
    <x:mergeCell ref="A31:I34"/>
  </x:mergeCells>
  <x:pageMargins left="0.7" right="0.7" top="0.75" bottom="0.75" header="0.3" footer="0.3"/>
  <x:drawing xmlns:r="http://schemas.openxmlformats.org/officeDocument/2006/relationships" r:id="R2a2ebd463f5d4c65"/>
</x:worksheet>
</file>

<file path=xl/worksheets/sheet2.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s>
  <x:sheetData>
    <x:row r="1" ht="39.599998474121094" hidden="0" customHeight="1">
      <x:c r="A1" s="24" t="str">
        <x:v>Held-out source</x:v>
      </x:c>
      <x:c r="B1" s="24" t="str">
        <x:v>DB records removed</x:v>
      </x:c>
      <x:c r="C1" s="24" t="str">
        <x:v>Species targets</x:v>
      </x:c>
      <x:c r="D1" s="24" t="str">
        <x:v>Predicted</x:v>
      </x:c>
      <x:c r="E1" s="24" t="str">
        <x:v>Coverage (%)</x:v>
      </x:c>
      <x:c r="F1" s="24" t="str">
        <x:v>Exact</x:v>
      </x:c>
      <x:c r="G1" s="24" t="str">
        <x:v>Genus</x:v>
      </x:c>
      <x:c r="H1" s="24" t="str">
        <x:v>Family</x:v>
      </x:c>
      <x:c r="I1" s="24" t="str">
        <x:v>Ecological proxy</x:v>
      </x:c>
      <x:c r="J1" s="24" t="str">
        <x:v>Broad</x:v>
      </x:c>
      <x:c r="K1" s="24" t="str">
        <x:v>No fallback</x:v>
      </x:c>
      <x:c r="L1" s="24" t="str">
        <x:v>MAE (kJ/g)</x:v>
      </x:c>
      <x:c r="M1" s="24" t="str">
        <x:v>RMSE (kJ/g)</x:v>
      </x:c>
      <x:c r="N1" s="24" t="str">
        <x:v>MAPE (%)</x:v>
      </x:c>
      <x:c r="O1" s="24" t="str">
        <x:v>Median APE (%)</x:v>
      </x:c>
      <x:c r="P1" s="24" t="str">
        <x:v>Bias (kJ/g)</x:v>
      </x:c>
      <x:c r="Q1" s="24" t="str">
        <x:v>Pearson r</x:v>
      </x:c>
    </x:row>
    <x:row r="2" ht="15" hidden="0" customHeight="1">
      <x:c r="A2" s="17" t="str">
        <x:v>Cauffopé &amp; Heymans 2005</x:v>
      </x:c>
      <x:c r="B2" s="17" t="n">
        <x:v>29</x:v>
      </x:c>
      <x:c r="C2" s="17" t="n">
        <x:v>16</x:v>
      </x:c>
      <x:c r="D2" s="17" t="n">
        <x:v>16</x:v>
      </x:c>
      <x:c r="E2" s="53" t="n">
        <x:v>100</x:v>
      </x:c>
      <x:c r="F2" s="17" t="n">
        <x:v>0</x:v>
      </x:c>
      <x:c r="G2" s="17" t="n">
        <x:v>2</x:v>
      </x:c>
      <x:c r="H2" s="17" t="n">
        <x:v>4</x:v>
      </x:c>
      <x:c r="I2" s="17" t="n">
        <x:v>10</x:v>
      </x:c>
      <x:c r="J2" s="17" t="n">
        <x:v>0</x:v>
      </x:c>
      <x:c r="K2" s="17" t="n">
        <x:v>0</x:v>
      </x:c>
      <x:c r="L2" s="52" t="n">
        <x:v>1.04125</x:v>
      </x:c>
      <x:c r="M2" s="52" t="n">
        <x:v>1.493709727490586</x:v>
      </x:c>
      <x:c r="N2" s="53" t="n">
        <x:v>20.892524655828087</x:v>
      </x:c>
      <x:c r="O2" s="53" t="n">
        <x:v>20.239966751594658</x:v>
      </x:c>
      <x:c r="P2" s="52" t="n">
        <x:v>-0.4175</x:v>
      </x:c>
      <x:c r="Q2" s="52" t="n">
        <x:v>0.7932824991412556</x:v>
      </x:c>
    </x:row>
    <x:row r="3" ht="15" hidden="0" customHeight="1">
      <x:c r="A3" s="17" t="str">
        <x:v>Lawson et al. 2018</x:v>
      </x:c>
      <x:c r="B3" s="17" t="n">
        <x:v>19</x:v>
      </x:c>
      <x:c r="C3" s="17" t="n">
        <x:v>11</x:v>
      </x:c>
      <x:c r="D3" s="17" t="n">
        <x:v>11</x:v>
      </x:c>
      <x:c r="E3" s="53" t="n">
        <x:v>100</x:v>
      </x:c>
      <x:c r="F3" s="17" t="n">
        <x:v>3</x:v>
      </x:c>
      <x:c r="G3" s="17" t="n">
        <x:v>4</x:v>
      </x:c>
      <x:c r="H3" s="17" t="n">
        <x:v>0</x:v>
      </x:c>
      <x:c r="I3" s="17" t="n">
        <x:v>3</x:v>
      </x:c>
      <x:c r="J3" s="17" t="n">
        <x:v>1</x:v>
      </x:c>
      <x:c r="K3" s="17" t="n">
        <x:v>0</x:v>
      </x:c>
      <x:c r="L3" s="52" t="n">
        <x:v>0.5504545454545453</x:v>
      </x:c>
      <x:c r="M3" s="52" t="n">
        <x:v>0.7309722666048656</x:v>
      </x:c>
      <x:c r="N3" s="53" t="n">
        <x:v>9.941863343898914</x:v>
      </x:c>
      <x:c r="O3" s="53" t="n">
        <x:v>6.770833333333329</x:v>
      </x:c>
      <x:c r="P3" s="52" t="n">
        <x:v>0.11045454545454553</x:v>
      </x:c>
      <x:c r="Q3" s="52" t="n">
        <x:v>0.6760199036201189</x:v>
      </x:c>
    </x:row>
    <x:row r="4" ht="15" hidden="0" customHeight="1">
      <x:c r="A4" s="17" t="str">
        <x:v>Nitschke et al. 2026</x:v>
      </x:c>
      <x:c r="B4" s="17" t="n">
        <x:v>40</x:v>
      </x:c>
      <x:c r="C4" s="17" t="n">
        <x:v>21</x:v>
      </x:c>
      <x:c r="D4" s="17" t="n">
        <x:v>21</x:v>
      </x:c>
      <x:c r="E4" s="53" t="n">
        <x:v>100</x:v>
      </x:c>
      <x:c r="F4" s="17" t="n">
        <x:v>2</x:v>
      </x:c>
      <x:c r="G4" s="17" t="n">
        <x:v>1</x:v>
      </x:c>
      <x:c r="H4" s="17" t="n">
        <x:v>6</x:v>
      </x:c>
      <x:c r="I4" s="17" t="n">
        <x:v>9</x:v>
      </x:c>
      <x:c r="J4" s="17" t="n">
        <x:v>3</x:v>
      </x:c>
      <x:c r="K4" s="17" t="n">
        <x:v>0</x:v>
      </x:c>
      <x:c r="L4" s="52" t="n">
        <x:v>0.9416666666666667</x:v>
      </x:c>
      <x:c r="M4" s="52" t="n">
        <x:v>1.1523118584166436</x:v>
      </x:c>
      <x:c r="N4" s="53" t="n">
        <x:v>50.45962855058038</x:v>
      </x:c>
      <x:c r="O4" s="53" t="n">
        <x:v>21.022727272727266</x:v>
      </x:c>
      <x:c r="P4" s="52" t="n">
        <x:v>0.1940476190476191</x:v>
      </x:c>
      <x:c r="Q4" s="52" t="n">
        <x:v>0.8402253617030907</x:v>
      </x:c>
    </x:row>
    <x:row r="5" ht="15" hidden="0" customHeight="1">
      <x:c r="A5" s="17" t="str">
        <x:v>Price et al. 2024</x:v>
      </x:c>
      <x:c r="B5" s="17" t="n">
        <x:v>13</x:v>
      </x:c>
      <x:c r="C5" s="17" t="n">
        <x:v>3</x:v>
      </x:c>
      <x:c r="D5" s="17" t="n">
        <x:v>3</x:v>
      </x:c>
      <x:c r="E5" s="53" t="n">
        <x:v>100</x:v>
      </x:c>
      <x:c r="F5" s="17" t="n">
        <x:v>1</x:v>
      </x:c>
      <x:c r="G5" s="17" t="n">
        <x:v>2</x:v>
      </x:c>
      <x:c r="H5" s="17" t="n">
        <x:v>0</x:v>
      </x:c>
      <x:c r="I5" s="17" t="n">
        <x:v>0</x:v>
      </x:c>
      <x:c r="J5" s="17" t="n">
        <x:v>0</x:v>
      </x:c>
      <x:c r="K5" s="17" t="n">
        <x:v>0</x:v>
      </x:c>
      <x:c r="L5" s="52" t="n">
        <x:v>0.8466666666666667</x:v>
      </x:c>
      <x:c r="M5" s="52" t="n">
        <x:v>1.2015268064702787</x:v>
      </x:c>
      <x:c r="N5" s="53" t="n">
        <x:v>11.736368320516986</x:v>
      </x:c>
      <x:c r="O5" s="53" t="n">
        <x:v>6.391752577319599</x:v>
      </x:c>
      <x:c r="P5" s="52" t="n">
        <x:v>-0.5199999999999999</x:v>
      </x:c>
      <x:c r="Q5" s="52" t="n">
        <x:v>0.48446210692185027</x:v>
      </x:c>
    </x:row>
    <x:row r="6" ht="15" hidden="0" customHeight="1">
      <x:c r="A6" s="17" t="str">
        <x:v>Spitz et al. 2010</x:v>
      </x:c>
      <x:c r="B6" s="17" t="n">
        <x:v>78</x:v>
      </x:c>
      <x:c r="C6" s="17" t="n">
        <x:v>74</x:v>
      </x:c>
      <x:c r="D6" s="17" t="n">
        <x:v>70</x:v>
      </x:c>
      <x:c r="E6" s="53" t="n">
        <x:v>94.5945945945946</x:v>
      </x:c>
      <x:c r="F6" s="17" t="n">
        <x:v>2</x:v>
      </x:c>
      <x:c r="G6" s="17" t="n">
        <x:v>6</x:v>
      </x:c>
      <x:c r="H6" s="17" t="n">
        <x:v>21</x:v>
      </x:c>
      <x:c r="I6" s="17" t="n">
        <x:v>37</x:v>
      </x:c>
      <x:c r="J6" s="17" t="n">
        <x:v>4</x:v>
      </x:c>
      <x:c r="K6" s="17" t="n">
        <x:v>4</x:v>
      </x:c>
      <x:c r="L6" s="52" t="n">
        <x:v>1.2949285714285714</x:v>
      </x:c>
      <x:c r="M6" s="52" t="n">
        <x:v>1.7392830008779068</x:v>
      </x:c>
      <x:c r="N6" s="53" t="n">
        <x:v>25.34851128504668</x:v>
      </x:c>
      <x:c r="O6" s="53" t="n">
        <x:v>18.482653450247803</x:v>
      </x:c>
      <x:c r="P6" s="52" t="n">
        <x:v>-0.33307142857142846</x:v>
      </x:c>
      <x:c r="Q6" s="52" t="n">
        <x:v>0.22182782732610998</x:v>
      </x:c>
    </x:row>
    <x:row r="7" ht="15" hidden="0" customHeight="1">
      <x:c r="A7" s="17" t="str">
        <x:v>Wuenschel et al. 2024</x:v>
      </x:c>
      <x:c r="B7" s="17" t="n">
        <x:v>8</x:v>
      </x:c>
      <x:c r="C7" s="17" t="n">
        <x:v>8</x:v>
      </x:c>
      <x:c r="D7" s="17" t="n">
        <x:v>8</x:v>
      </x:c>
      <x:c r="E7" s="53" t="n">
        <x:v>100</x:v>
      </x:c>
      <x:c r="F7" s="17" t="n">
        <x:v>2</x:v>
      </x:c>
      <x:c r="G7" s="17" t="n">
        <x:v>4</x:v>
      </x:c>
      <x:c r="H7" s="17" t="n">
        <x:v>1</x:v>
      </x:c>
      <x:c r="I7" s="17" t="n">
        <x:v>1</x:v>
      </x:c>
      <x:c r="J7" s="17" t="n">
        <x:v>0</x:v>
      </x:c>
      <x:c r="K7" s="17" t="n">
        <x:v>0</x:v>
      </x:c>
      <x:c r="L7" s="52" t="n">
        <x:v>1.18125</x:v>
      </x:c>
      <x:c r="M7" s="52" t="n">
        <x:v>1.8380679394407593</x:v>
      </x:c>
      <x:c r="N7" s="53" t="n">
        <x:v>21.171892990834635</x:v>
      </x:c>
      <x:c r="O7" s="53" t="n">
        <x:v>11.984034267912774</x:v>
      </x:c>
      <x:c r="P7" s="52" t="n">
        <x:v>0.48624999999999974</x:v>
      </x:c>
      <x:c r="Q7" s="52" t="n">
        <x:v>0.46758629254596445</x:v>
      </x:c>
    </x:row>
    <x:row r="8">
      <x:c r="A8" s="17"/>
      <x:c r="B8" s="17"/>
      <x:c r="C8" s="17"/>
      <x:c r="D8" s="17"/>
      <x:c r="E8" s="17"/>
      <x:c r="F8" s="17"/>
      <x:c r="G8" s="17"/>
      <x:c r="H8" s="17"/>
      <x:c r="I8" s="17"/>
      <x:c r="J8" s="17"/>
      <x:c r="K8" s="17"/>
      <x:c r="L8" s="17"/>
      <x:c r="M8" s="17"/>
      <x:c r="N8" s="17"/>
      <x:c r="O8" s="17"/>
      <x:c r="P8" s="17"/>
      <x:c r="Q8" s="17"/>
    </x:row>
    <x:row r="9" ht="15" hidden="0" customHeight="1">
      <x:c r="A9" s="16" t="str">
        <x:v>Macro-average across six sources</x:v>
      </x:c>
      <x:c r="B9" s="16" t="str"/>
      <x:c r="C9" s="16" t="str"/>
      <x:c r="D9" s="16" t="str"/>
      <x:c r="E9" s="56" t="n">
        <x:v>99.09909909909909</x:v>
      </x:c>
      <x:c r="F9" s="16" t="str"/>
      <x:c r="G9" s="16" t="str"/>
      <x:c r="H9" s="16" t="str"/>
      <x:c r="I9" s="16" t="str"/>
      <x:c r="J9" s="16" t="str"/>
      <x:c r="K9" s="16" t="str"/>
      <x:c r="L9" s="57" t="n">
        <x:v>0.9760360750360749</x:v>
      </x:c>
      <x:c r="M9" s="57" t="n">
        <x:v>1.35931193321684</x:v>
      </x:c>
      <x:c r="N9" s="56" t="n">
        <x:v>23.25846485778428</x:v>
      </x:c>
      <x:c r="O9" s="56" t="n">
        <x:v>14.14866127552257</x:v>
      </x:c>
      <x:c r="P9" s="57" t="n">
        <x:v>-0.07996987734487733</x:v>
      </x:c>
      <x:c r="Q9" s="57" t="n">
        <x:v>0.5805673318763983</x:v>
      </x:c>
    </x:row>
  </x:sheetData>
  <x:pageMargins left="0.7" right="0.7" top="0.75" bottom="0.75" header="0.3" footer="0.3"/>
  <x:drawing xmlns:r="http://schemas.openxmlformats.org/officeDocument/2006/relationships" r:id="Rd3e3c45b83814fb0"/>
</x:worksheet>
</file>

<file path=xl/worksheets/sheet3.xml><?xml version="1.0" encoding="utf-8"?>
<x:worksheet xmlns:x="http://schemas.openxmlformats.org/spreadsheetml/2006/main">
  <x:sheetFormatPr defaultRowHeight="15"/>
  <x:cols>
    <x:col min="1" max="1" width="24"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10" max="10" width="12.380000114440918" hidden="0" customWidth="1"/>
    <x:col min="11" max="11" width="12.630000114440918" hidden="0" customWidth="1"/>
    <x:col min="12" max="12" width="11.880000114440918" hidden="0" customWidth="1"/>
  </x:cols>
  <x:sheetData>
    <x:row r="1" ht="39.599998474121094" hidden="0" customHeight="1">
      <x:c r="A1" s="24" t="str">
        <x:v>Fallback level</x:v>
      </x:c>
      <x:c r="B1" s="24" t="str">
        <x:v>Source-out n</x:v>
      </x:c>
      <x:c r="C1" s="24" t="str">
        <x:v>Source-out MAE</x:v>
      </x:c>
      <x:c r="D1" s="24" t="str">
        <x:v>Source-out RMSE</x:v>
      </x:c>
      <x:c r="E1" s="24" t="str">
        <x:v>Source-out MAPE (%)</x:v>
      </x:c>
      <x:c r="F1" s="24" t="str">
        <x:v>Taxon-out n</x:v>
      </x:c>
      <x:c r="G1" s="24" t="str">
        <x:v>Taxon-out MAE</x:v>
      </x:c>
      <x:c r="H1" s="24" t="str">
        <x:v>Taxon-out MAPE (%)</x:v>
      </x:c>
      <x:c r="I1" s="17"/>
      <x:c r="J1" s="17" t="str">
        <x:v>Level</x:v>
      </x:c>
      <x:c r="K1" s="17" t="str">
        <x:v>Source-out MAE</x:v>
      </x:c>
      <x:c r="L1" s="17" t="str">
        <x:v>Taxon-out MAE</x:v>
      </x:c>
    </x:row>
    <x:row r="2" ht="15" hidden="0" customHeight="1">
      <x:c r="A2" s="17" t="str">
        <x:v>Genus</x:v>
      </x:c>
      <x:c r="B2" s="17" t="n">
        <x:v>19</x:v>
      </x:c>
      <x:c r="C2" s="52" t="n">
        <x:v>0.816842105263158</x:v>
      </x:c>
      <x:c r="D2" s="52" t="n">
        <x:v>0.9947705368840755</x:v>
      </x:c>
      <x:c r="E2" s="53" t="n">
        <x:v>14.628799419918721</x:v>
      </x:c>
      <x:c r="F2" s="17" t="n">
        <x:v>27</x:v>
      </x:c>
      <x:c r="G2" s="52" t="n">
        <x:v>0.7614814814814815</x:v>
      </x:c>
      <x:c r="H2" s="53" t="n">
        <x:v>14.681342116888835</x:v>
      </x:c>
      <x:c r="I2" s="17"/>
      <x:c r="J2" s="17" t="str">
        <x:v>Genus</x:v>
      </x:c>
      <x:c r="K2" s="17" t="n">
        <x:v>0.816842105263158</x:v>
      </x:c>
      <x:c r="L2" s="17" t="n">
        <x:v>0.7614814814814815</x:v>
      </x:c>
    </x:row>
    <x:row r="3" ht="15" hidden="0" customHeight="1">
      <x:c r="A3" s="17" t="str">
        <x:v>Family</x:v>
      </x:c>
      <x:c r="B3" s="17" t="n">
        <x:v>32</x:v>
      </x:c>
      <x:c r="C3" s="52" t="n">
        <x:v>1.2671875</x:v>
      </x:c>
      <x:c r="D3" s="52" t="n">
        <x:v>1.7596750410231998</x:v>
      </x:c>
      <x:c r="E3" s="53" t="n">
        <x:v>19.740654537019733</x:v>
      </x:c>
      <x:c r="F3" s="17" t="n">
        <x:v>48</x:v>
      </x:c>
      <x:c r="G3" s="52" t="n">
        <x:v>1.2571875</x:v>
      </x:c>
      <x:c r="H3" s="53" t="n">
        <x:v>21.266760987009125</x:v>
      </x:c>
      <x:c r="I3" s="17"/>
      <x:c r="J3" s="17" t="str">
        <x:v>Family</x:v>
      </x:c>
      <x:c r="K3" s="17" t="n">
        <x:v>1.2671875</x:v>
      </x:c>
      <x:c r="L3" s="17" t="n">
        <x:v>1.2571875</x:v>
      </x:c>
    </x:row>
    <x:row r="4" ht="15" hidden="0" customHeight="1">
      <x:c r="A4" s="17" t="str">
        <x:v>Ecological proxy</x:v>
      </x:c>
      <x:c r="B4" s="17" t="n">
        <x:v>60</x:v>
      </x:c>
      <x:c r="C4" s="52" t="n">
        <x:v>1.0930833333333332</x:v>
      </x:c>
      <x:c r="D4" s="52" t="n">
        <x:v>1.4791499529572159</x:v>
      </x:c>
      <x:c r="E4" s="53" t="n">
        <x:v>34.67370126819565</x:v>
      </x:c>
      <x:c r="F4" s="17" t="n">
        <x:v>44</x:v>
      </x:c>
      <x:c r="G4" s="52" t="n">
        <x:v>0.925340909090909</x:v>
      </x:c>
      <x:c r="H4" s="53" t="n">
        <x:v>27.943470324627636</x:v>
      </x:c>
      <x:c r="I4" s="17"/>
      <x:c r="J4" s="17" t="str">
        <x:v>Ecological proxy</x:v>
      </x:c>
      <x:c r="K4" s="17" t="n">
        <x:v>1.0930833333333332</x:v>
      </x:c>
      <x:c r="L4" s="17" t="n">
        <x:v>0.925340909090909</x:v>
      </x:c>
    </x:row>
    <x:row r="5" ht="15" hidden="0" customHeight="1">
      <x:c r="A5" s="17" t="str">
        <x:v>Broad</x:v>
      </x:c>
      <x:c r="B5" s="17" t="n">
        <x:v>8</x:v>
      </x:c>
      <x:c r="C5" s="52" t="n">
        <x:v>1.11375</x:v>
      </x:c>
      <x:c r="D5" s="52" t="n">
        <x:v>1.2888633558294689</x:v>
      </x:c>
      <x:c r="E5" s="53" t="n">
        <x:v>34.93112051375273</x:v>
      </x:c>
      <x:c r="F5" s="17" t="n">
        <x:v>8</x:v>
      </x:c>
      <x:c r="G5" s="52" t="n">
        <x:v>0.9037500000000003</x:v>
      </x:c>
      <x:c r="H5" s="53" t="n">
        <x:v>19.33196543430705</x:v>
      </x:c>
      <x:c r="I5" s="17"/>
      <x:c r="J5" s="17" t="str">
        <x:v>Broad</x:v>
      </x:c>
      <x:c r="K5" s="17" t="n">
        <x:v>1.11375</x:v>
      </x:c>
      <x:c r="L5" s="17" t="n">
        <x:v>0.9037500000000003</x:v>
      </x:c>
    </x:row>
    <x:row r="6">
      <x:c r="A6" s="17"/>
      <x:c r="B6" s="17"/>
      <x:c r="C6" s="17"/>
      <x:c r="D6" s="17"/>
      <x:c r="E6" s="17"/>
      <x:c r="F6" s="17"/>
      <x:c r="G6" s="17"/>
      <x:c r="H6" s="17"/>
      <x:c r="I6" s="17"/>
      <x:c r="J6" s="17"/>
      <x:c r="K6" s="17"/>
      <x:c r="L6" s="17"/>
    </x:row>
    <x:row r="7" ht="15" hidden="0" customHeight="1">
      <x:c r="A7" s="16" t="str">
        <x:v>Interpretation</x:v>
      </x:c>
      <x:c r="B7" s="16"/>
      <x:c r="C7" s="16"/>
      <x:c r="D7" s="16"/>
      <x:c r="E7" s="16"/>
      <x:c r="F7" s="16"/>
      <x:c r="G7" s="16"/>
      <x:c r="H7" s="16"/>
      <x:c r="I7" s="17"/>
      <x:c r="J7" s="17"/>
      <x:c r="K7" s="17"/>
      <x:c r="L7" s="17"/>
    </x:row>
    <x:row r="8">
      <x:c r="A8" s="37" t="str">
        <x:v>Genus remained comparatively robust after entire-source exclusion (MAE 0.817 kJ/g; MAPE 14.63%), very close to the previous leave-one-taxon-out genus result (MAE 0.761; MAPE 14.68%). Family and lower-level fallbacks showed larger source-held-out errors. These results support retaining the hierarchy as a transparent assignment rule while reporting match level and uncertainty, rather than claiming that each lower level has a universally ordered accuracy.</x:v>
      </x:c>
      <x:c r="B8" s="37"/>
      <x:c r="C8" s="37"/>
      <x:c r="D8" s="37"/>
      <x:c r="E8" s="37"/>
      <x:c r="F8" s="37"/>
      <x:c r="G8" s="37"/>
      <x:c r="H8" s="37"/>
      <x:c r="I8" s="17"/>
      <x:c r="J8" s="17"/>
      <x:c r="K8" s="17"/>
      <x:c r="L8" s="17"/>
    </x:row>
    <x:row r="9">
      <x:c r="A9" s="37"/>
      <x:c r="B9" s="37"/>
      <x:c r="C9" s="37"/>
      <x:c r="D9" s="37"/>
      <x:c r="E9" s="37"/>
      <x:c r="F9" s="37"/>
      <x:c r="G9" s="37"/>
      <x:c r="H9" s="37"/>
      <x:c r="I9" s="17"/>
      <x:c r="J9" s="17"/>
      <x:c r="K9" s="17"/>
      <x:c r="L9" s="17"/>
    </x:row>
    <x:row r="10">
      <x:c r="A10" s="37"/>
      <x:c r="B10" s="37"/>
      <x:c r="C10" s="37"/>
      <x:c r="D10" s="37"/>
      <x:c r="E10" s="37"/>
      <x:c r="F10" s="37"/>
      <x:c r="G10" s="37"/>
      <x:c r="H10" s="37"/>
      <x:c r="I10" s="17"/>
      <x:c r="J10" s="17"/>
      <x:c r="K10" s="17"/>
      <x:c r="L10" s="17"/>
    </x:row>
    <x:row r="11">
      <x:c r="A11" s="37"/>
      <x:c r="B11" s="37"/>
      <x:c r="C11" s="37"/>
      <x:c r="D11" s="37"/>
      <x:c r="E11" s="37"/>
      <x:c r="F11" s="37"/>
      <x:c r="G11" s="37"/>
      <x:c r="H11" s="37"/>
      <x:c r="I11" s="17"/>
      <x:c r="J11" s="17"/>
      <x:c r="K11" s="17"/>
      <x:c r="L11" s="17"/>
    </x:row>
  </x:sheetData>
  <x:mergeCells>
    <x:mergeCell ref="A7:H7"/>
    <x:mergeCell ref="A8:H11"/>
  </x:mergeCells>
  <x:pageMargins left="0.7" right="0.7" top="0.75" bottom="0.75" header="0.3" footer="0.3"/>
  <x:drawing xmlns:r="http://schemas.openxmlformats.org/officeDocument/2006/relationships" r:id="Rd098c910d5a44919"/>
</x:worksheet>
</file>

<file path=xl/worksheets/sheet4.xml><?xml version="1.0" encoding="utf-8"?>
<x:worksheet xmlns:x="http://schemas.openxmlformats.org/spreadsheetml/2006/main">
  <x:sheetFormatPr defaultRowHeight="15"/>
  <x:cols>
    <x:col min="1" max="1" width="28" hidden="0" customWidth="1"/>
    <x:col min="2" max="2" width="28" hidden="0" customWidth="1"/>
    <x:col min="3" max="3" width="10.380000114440918" hidden="0" customWidth="1"/>
    <x:col min="4" max="4" width="24" hidden="0" customWidth="1"/>
    <x:col min="5" max="5" width="24" hidden="0" customWidth="1"/>
    <x:col min="6" max="6" width="24" hidden="0" customWidth="1"/>
    <x:col min="7" max="7" width="24" hidden="0" customWidth="1"/>
    <x:col min="8" max="8" width="13.25" hidden="0" customWidth="1"/>
    <x:col min="9" max="9" width="22" hidden="0" customWidth="1"/>
    <x:col min="10" max="10" width="22" hidden="0" customWidth="1"/>
    <x:col min="11" max="11" width="10.25" hidden="0" customWidth="1"/>
    <x:col min="12" max="12" width="5.25" hidden="0" customWidth="1"/>
    <x:col min="13" max="13" width="11.630000114440918" hidden="0" customWidth="1"/>
    <x:col min="14" max="14" width="6.380000114440918" hidden="0" customWidth="1"/>
    <x:col min="15" max="15" width="16" hidden="0" customWidth="1"/>
  </x:cols>
  <x:sheetData>
    <x:row r="1" ht="39.599998474121094" hidden="0" customHeight="1">
      <x:c r="A1" s="24" t="str">
        <x:v>Held-out source</x:v>
      </x:c>
      <x:c r="B1" s="24" t="str">
        <x:v>Taxon</x:v>
      </x:c>
      <x:c r="C1" s="24" t="str">
        <x:v>Observed ED</x:v>
      </x:c>
      <x:c r="D1" s="24" t="str">
        <x:v>Genus</x:v>
      </x:c>
      <x:c r="E1" s="24" t="str">
        <x:v>Family</x:v>
      </x:c>
      <x:c r="F1" s="24" t="str">
        <x:v>Energy proxy group</x:v>
      </x:c>
      <x:c r="G1" s="24" t="str">
        <x:v>Broad group</x:v>
      </x:c>
      <x:c r="H1" s="24" t="str">
        <x:v>Held-out records</x:v>
      </x:c>
      <x:c r="I1" s="24" t="str">
        <x:v>Exact ED in another source</x:v>
      </x:c>
      <x:c r="J1" s="24" t="str">
        <x:v>Selected level</x:v>
      </x:c>
      <x:c r="K1" s="24" t="str">
        <x:v>Predicted ED</x:v>
      </x:c>
      <x:c r="L1" s="24" t="str">
        <x:v>Error</x:v>
      </x:c>
      <x:c r="M1" s="24" t="str">
        <x:v>Absolute error</x:v>
      </x:c>
      <x:c r="N1" s="24" t="str">
        <x:v>APE (%)</x:v>
      </x:c>
      <x:c r="O1" s="24" t="str">
        <x:v>Prediction status</x:v>
      </x:c>
    </x:row>
    <x:row r="2" ht="15" hidden="0" customHeight="1">
      <x:c r="A2" s="17" t="str">
        <x:v>Cauffopé &amp; Heymans 2005</x:v>
      </x:c>
      <x:c r="B2" s="17" t="str">
        <x:v>Ammodytes hexapterus</x:v>
      </x:c>
      <x:c r="C2" s="52" t="n">
        <x:v>4.95</x:v>
      </x:c>
      <x:c r="D2" s="17" t="str">
        <x:v>Ammodytes</x:v>
      </x:c>
      <x:c r="E2" s="17" t="str">
        <x:v>Ammodytidae</x:v>
      </x:c>
      <x:c r="F2" s="17" t="str">
        <x:v>Small pelagic forage fishes</x:v>
      </x:c>
      <x:c r="G2" s="17" t="str">
        <x:v>Teleostei</x:v>
      </x:c>
      <x:c r="H2" s="17" t="n">
        <x:v>1</x:v>
      </x:c>
      <x:c r="I2" s="17" t="str">
        <x:v>No</x:v>
      </x:c>
      <x:c r="J2" s="17" t="str">
        <x:v>Genus</x:v>
      </x:c>
      <x:c r="K2" s="52" t="n">
        <x:v>5.9</x:v>
      </x:c>
      <x:c r="L2" s="52" t="n">
        <x:f>IF(K2="","",K2-C2)</x:f>
        <x:v>0.9500000000000002</x:v>
      </x:c>
      <x:c r="M2" s="52" t="n">
        <x:f>IF(L2="","",ABS(L2))</x:f>
        <x:v>0.9500000000000002</x:v>
      </x:c>
      <x:c r="N2" s="53" t="n">
        <x:f>IF(M2="","",M2/C2*100)</x:f>
        <x:v>19.191919191919197</x:v>
      </x:c>
      <x:c r="O2" s="17" t="str">
        <x:v>Predicted</x:v>
      </x:c>
    </x:row>
    <x:row r="3" ht="15" hidden="0" customHeight="1">
      <x:c r="A3" s="17" t="str">
        <x:v>Cauffopé &amp; Heymans 2005</x:v>
      </x:c>
      <x:c r="B3" s="17" t="str">
        <x:v>Aphrodita hastata</x:v>
      </x:c>
      <x:c r="C3" s="52" t="n">
        <x:v>2.03</x:v>
      </x:c>
      <x:c r="D3" s="17" t="str">
        <x:v>Aphrodita</x:v>
      </x:c>
      <x:c r="E3" s="17" t="str">
        <x:v>Aphroditidae</x:v>
      </x:c>
      <x:c r="F3" s="17" t="str">
        <x:v>Other benthic polychaetes</x:v>
      </x:c>
      <x:c r="G3" s="17" t="str">
        <x:v>Annelida</x:v>
      </x:c>
      <x:c r="H3" s="17" t="n">
        <x:v>1</x:v>
      </x:c>
      <x:c r="I3" s="17" t="str">
        <x:v>No</x:v>
      </x:c>
      <x:c r="J3" s="17" t="str">
        <x:v>Ecological proxy</x:v>
      </x:c>
      <x:c r="K3" s="52" t="n">
        <x:v>2.045</x:v>
      </x:c>
      <x:c r="L3" s="52" t="n">
        <x:f>IF(K3="","",K3-C3)</x:f>
        <x:v>0.015000000000000124</x:v>
      </x:c>
      <x:c r="M3" s="52" t="n">
        <x:f>IF(L3="","",ABS(L3))</x:f>
        <x:v>0.015000000000000124</x:v>
      </x:c>
      <x:c r="N3" s="53" t="n">
        <x:f>IF(M3="","",M3/C3*100)</x:f>
        <x:v>0.7389162561576417</x:v>
      </x:c>
      <x:c r="O3" s="17" t="str">
        <x:v>Predicted</x:v>
      </x:c>
    </x:row>
    <x:row r="4" ht="15" hidden="0" customHeight="1">
      <x:c r="A4" s="17" t="str">
        <x:v>Cauffopé &amp; Heymans 2005</x:v>
      </x:c>
      <x:c r="B4" s="17" t="str">
        <x:v>Clinocardium ciliatum</x:v>
      </x:c>
      <x:c r="C4" s="52" t="n">
        <x:v>1.57</x:v>
      </x:c>
      <x:c r="D4" s="17" t="str">
        <x:v>Clinocardium</x:v>
      </x:c>
      <x:c r="E4" s="17" t="str">
        <x:v>Cardiidae</x:v>
      </x:c>
      <x:c r="F4" s="17" t="str">
        <x:v>Benthic bivalves</x:v>
      </x:c>
      <x:c r="G4" s="17" t="str">
        <x:v>Mollusca (non-cephalopods)</x:v>
      </x:c>
      <x:c r="H4" s="17" t="n">
        <x:v>1</x:v>
      </x:c>
      <x:c r="I4" s="17" t="str">
        <x:v>No</x:v>
      </x:c>
      <x:c r="J4" s="17" t="str">
        <x:v>Ecological proxy</x:v>
      </x:c>
      <x:c r="K4" s="52" t="n">
        <x:v>2.15</x:v>
      </x:c>
      <x:c r="L4" s="52" t="n">
        <x:f>IF(K4="","",K4-C4)</x:f>
        <x:v>0.5799999999999998</x:v>
      </x:c>
      <x:c r="M4" s="52" t="n">
        <x:f>IF(L4="","",ABS(L4))</x:f>
        <x:v>0.5799999999999998</x:v>
      </x:c>
      <x:c r="N4" s="53" t="n">
        <x:f>IF(M4="","",M4/C4*100)</x:f>
        <x:v>36.942675159235655</x:v>
      </x:c>
      <x:c r="O4" s="17" t="str">
        <x:v>Predicted</x:v>
      </x:c>
    </x:row>
    <x:row r="5" ht="15" hidden="0" customHeight="1">
      <x:c r="A5" s="17" t="str">
        <x:v>Cauffopé &amp; Heymans 2005</x:v>
      </x:c>
      <x:c r="B5" s="17" t="str">
        <x:v>Clupea pallasii</x:v>
      </x:c>
      <x:c r="C5" s="52" t="n">
        <x:v>7</x:v>
      </x:c>
      <x:c r="D5" s="17" t="str">
        <x:v>Clupea</x:v>
      </x:c>
      <x:c r="E5" s="17" t="str">
        <x:v>Clupeidae</x:v>
      </x:c>
      <x:c r="F5" s="17" t="str">
        <x:v>Small pelagic forage fishes</x:v>
      </x:c>
      <x:c r="G5" s="17" t="str">
        <x:v>Teleostei</x:v>
      </x:c>
      <x:c r="H5" s="17" t="n">
        <x:v>1</x:v>
      </x:c>
      <x:c r="I5" s="17" t="str">
        <x:v>No</x:v>
      </x:c>
      <x:c r="J5" s="17" t="str">
        <x:v>Genus</x:v>
      </x:c>
      <x:c r="K5" s="52" t="n">
        <x:v>7.955</x:v>
      </x:c>
      <x:c r="L5" s="52" t="n">
        <x:f>IF(K5="","",K5-C5)</x:f>
        <x:v>0.9550000000000001</x:v>
      </x:c>
      <x:c r="M5" s="52" t="n">
        <x:f>IF(L5="","",ABS(L5))</x:f>
        <x:v>0.9550000000000001</x:v>
      </x:c>
      <x:c r="N5" s="53" t="n">
        <x:f>IF(M5="","",M5/C5*100)</x:f>
        <x:v>13.642857142857142</x:v>
      </x:c>
      <x:c r="O5" s="17" t="str">
        <x:v>Predicted</x:v>
      </x:c>
    </x:row>
    <x:row r="6" ht="15" hidden="0" customHeight="1">
      <x:c r="A6" s="17" t="str">
        <x:v>Cauffopé &amp; Heymans 2005</x:v>
      </x:c>
      <x:c r="B6" s="17" t="str">
        <x:v>Cololabis saira</x:v>
      </x:c>
      <x:c r="C6" s="52" t="n">
        <x:v>7</x:v>
      </x:c>
      <x:c r="D6" s="17" t="str">
        <x:v>Cololabis</x:v>
      </x:c>
      <x:c r="E6" s="17" t="str">
        <x:v>Scomberesocidae</x:v>
      </x:c>
      <x:c r="F6" s="17" t="str">
        <x:v>Small pelagic forage fishes</x:v>
      </x:c>
      <x:c r="G6" s="17" t="str">
        <x:v>Teleostei</x:v>
      </x:c>
      <x:c r="H6" s="17" t="n">
        <x:v>1</x:v>
      </x:c>
      <x:c r="I6" s="17" t="str">
        <x:v>No</x:v>
      </x:c>
      <x:c r="J6" s="17" t="str">
        <x:v>Family</x:v>
      </x:c>
      <x:c r="K6" s="52" t="n">
        <x:v>5.8</x:v>
      </x:c>
      <x:c r="L6" s="52" t="n">
        <x:f>IF(K6="","",K6-C6)</x:f>
        <x:v>-1.2000000000000002</x:v>
      </x:c>
      <x:c r="M6" s="52" t="n">
        <x:f>IF(L6="","",ABS(L6))</x:f>
        <x:v>1.2000000000000002</x:v>
      </x:c>
      <x:c r="N6" s="53" t="n">
        <x:f>IF(M6="","",M6/C6*100)</x:f>
        <x:v>17.142857142857146</x:v>
      </x:c>
      <x:c r="O6" s="17" t="str">
        <x:v>Predicted</x:v>
      </x:c>
    </x:row>
    <x:row r="7" ht="15" hidden="0" customHeight="1">
      <x:c r="A7" s="17" t="str">
        <x:v>Cauffopé &amp; Heymans 2005</x:v>
      </x:c>
      <x:c r="B7" s="17" t="str">
        <x:v>Dosidicus gigas</x:v>
      </x:c>
      <x:c r="C7" s="52" t="n">
        <x:v>4.22</x:v>
      </x:c>
      <x:c r="D7" s="17" t="str">
        <x:v>Dosidicus</x:v>
      </x:c>
      <x:c r="E7" s="17" t="str">
        <x:v>Ommastrephidae</x:v>
      </x:c>
      <x:c r="F7" s="17" t="str">
        <x:v>Pelagic squids</x:v>
      </x:c>
      <x:c r="G7" s="17" t="str">
        <x:v>Cephalopoda</x:v>
      </x:c>
      <x:c r="H7" s="17" t="n">
        <x:v>1</x:v>
      </x:c>
      <x:c r="I7" s="17" t="str">
        <x:v>No</x:v>
      </x:c>
      <x:c r="J7" s="17" t="str">
        <x:v>Family</x:v>
      </x:c>
      <x:c r="K7" s="52" t="n">
        <x:v>4.4</x:v>
      </x:c>
      <x:c r="L7" s="52" t="n">
        <x:f>IF(K7="","",K7-C7)</x:f>
        <x:v>0.1800000000000006</x:v>
      </x:c>
      <x:c r="M7" s="52" t="n">
        <x:f>IF(L7="","",ABS(L7))</x:f>
        <x:v>0.1800000000000006</x:v>
      </x:c>
      <x:c r="N7" s="53" t="n">
        <x:f>IF(M7="","",M7/C7*100)</x:f>
        <x:v>4.265402843601911</x:v>
      </x:c>
      <x:c r="O7" s="17" t="str">
        <x:v>Predicted</x:v>
      </x:c>
    </x:row>
    <x:row r="8" ht="15" hidden="0" customHeight="1">
      <x:c r="A8" s="17" t="str">
        <x:v>Cauffopé &amp; Heymans 2005</x:v>
      </x:c>
      <x:c r="B8" s="17" t="str">
        <x:v>Euphausia superba</x:v>
      </x:c>
      <x:c r="C8" s="52" t="n">
        <x:v>3.73</x:v>
      </x:c>
      <x:c r="D8" s="17" t="str">
        <x:v>Euphausia</x:v>
      </x:c>
      <x:c r="E8" s="17" t="str">
        <x:v>Euphausiidae</x:v>
      </x:c>
      <x:c r="F8" s="17" t="str">
        <x:v>Pelagic planktonic euphausiids</x:v>
      </x:c>
      <x:c r="G8" s="17" t="str">
        <x:v>Crustacea</x:v>
      </x:c>
      <x:c r="H8" s="17" t="n">
        <x:v>1</x:v>
      </x:c>
      <x:c r="I8" s="17" t="str">
        <x:v>No</x:v>
      </x:c>
      <x:c r="J8" s="17" t="str">
        <x:v>Family</x:v>
      </x:c>
      <x:c r="K8" s="52" t="n">
        <x:v>3.9</x:v>
      </x:c>
      <x:c r="L8" s="52" t="n">
        <x:f>IF(K8="","",K8-C8)</x:f>
        <x:v>0.16999999999999993</x:v>
      </x:c>
      <x:c r="M8" s="52" t="n">
        <x:f>IF(L8="","",ABS(L8))</x:f>
        <x:v>0.16999999999999993</x:v>
      </x:c>
      <x:c r="N8" s="53" t="n">
        <x:f>IF(M8="","",M8/C8*100)</x:f>
        <x:v>4.55764075067024</x:v>
      </x:c>
      <x:c r="O8" s="17" t="str">
        <x:v>Predicted</x:v>
      </x:c>
    </x:row>
    <x:row r="9" ht="15" hidden="0" customHeight="1">
      <x:c r="A9" s="17" t="str">
        <x:v>Cauffopé &amp; Heymans 2005</x:v>
      </x:c>
      <x:c r="B9" s="17" t="str">
        <x:v>Luabrinereis fragilis</x:v>
      </x:c>
      <x:c r="C9" s="52" t="n">
        <x:v>4.43</x:v>
      </x:c>
      <x:c r="D9" s="17" t="str">
        <x:v>Luabrinereis</x:v>
      </x:c>
      <x:c r="E9" s="17" t="str"/>
      <x:c r="F9" s="17" t="str">
        <x:v>Other benthic polychaetes</x:v>
      </x:c>
      <x:c r="G9" s="17" t="str">
        <x:v>Annelida</x:v>
      </x:c>
      <x:c r="H9" s="17" t="n">
        <x:v>1</x:v>
      </x:c>
      <x:c r="I9" s="17" t="str">
        <x:v>No</x:v>
      </x:c>
      <x:c r="J9" s="17" t="str">
        <x:v>Ecological proxy</x:v>
      </x:c>
      <x:c r="K9" s="52" t="n">
        <x:v>2.045</x:v>
      </x:c>
      <x:c r="L9" s="52" t="n">
        <x:f>IF(K9="","",K9-C9)</x:f>
        <x:v>-2.385</x:v>
      </x:c>
      <x:c r="M9" s="52" t="n">
        <x:f>IF(L9="","",ABS(L9))</x:f>
        <x:v>2.385</x:v>
      </x:c>
      <x:c r="N9" s="53" t="n">
        <x:f>IF(M9="","",M9/C9*100)</x:f>
        <x:v>53.83747178329571</x:v>
      </x:c>
      <x:c r="O9" s="17" t="str">
        <x:v>Predicted</x:v>
      </x:c>
    </x:row>
    <x:row r="10" ht="15" hidden="0" customHeight="1">
      <x:c r="A10" s="17" t="str">
        <x:v>Cauffopé &amp; Heymans 2005</x:v>
      </x:c>
      <x:c r="B10" s="17" t="str">
        <x:v>Mallotus villosus</x:v>
      </x:c>
      <x:c r="C10" s="52" t="n">
        <x:v>7.03</x:v>
      </x:c>
      <x:c r="D10" s="17" t="str">
        <x:v>Mallotus</x:v>
      </x:c>
      <x:c r="E10" s="17" t="str">
        <x:v>Osmeridae</x:v>
      </x:c>
      <x:c r="F10" s="17" t="str">
        <x:v>Small pelagic forage fishes</x:v>
      </x:c>
      <x:c r="G10" s="17" t="str">
        <x:v>Teleostei</x:v>
      </x:c>
      <x:c r="H10" s="17" t="n">
        <x:v>1</x:v>
      </x:c>
      <x:c r="I10" s="17" t="str">
        <x:v>No</x:v>
      </x:c>
      <x:c r="J10" s="17" t="str">
        <x:v>Ecological proxy</x:v>
      </x:c>
      <x:c r="K10" s="52" t="n">
        <x:v>6.5</x:v>
      </x:c>
      <x:c r="L10" s="52" t="n">
        <x:f>IF(K10="","",K10-C10)</x:f>
        <x:v>-0.5300000000000002</x:v>
      </x:c>
      <x:c r="M10" s="52" t="n">
        <x:f>IF(L10="","",ABS(L10))</x:f>
        <x:v>0.5300000000000002</x:v>
      </x:c>
      <x:c r="N10" s="53" t="n">
        <x:f>IF(M10="","",M10/C10*100)</x:f>
        <x:v>7.5391180654338585</x:v>
      </x:c>
      <x:c r="O10" s="17" t="str">
        <x:v>Predicted</x:v>
      </x:c>
    </x:row>
    <x:row r="11" ht="15" hidden="0" customHeight="1">
      <x:c r="A11" s="17" t="str">
        <x:v>Cauffopé &amp; Heymans 2005</x:v>
      </x:c>
      <x:c r="B11" s="17" t="str">
        <x:v>Nethys ciliata</x:v>
      </x:c>
      <x:c r="C11" s="52" t="n">
        <x:v>3.13</x:v>
      </x:c>
      <x:c r="D11" s="17" t="str">
        <x:v>Nethys</x:v>
      </x:c>
      <x:c r="E11" s="17" t="str"/>
      <x:c r="F11" s="17" t="str">
        <x:v>Other benthic polychaetes</x:v>
      </x:c>
      <x:c r="G11" s="17" t="str">
        <x:v>Annelida</x:v>
      </x:c>
      <x:c r="H11" s="17" t="n">
        <x:v>1</x:v>
      </x:c>
      <x:c r="I11" s="17" t="str">
        <x:v>No</x:v>
      </x:c>
      <x:c r="J11" s="17" t="str">
        <x:v>Ecological proxy</x:v>
      </x:c>
      <x:c r="K11" s="52" t="n">
        <x:v>2.045</x:v>
      </x:c>
      <x:c r="L11" s="52" t="n">
        <x:f>IF(K11="","",K11-C11)</x:f>
        <x:v>-1.085</x:v>
      </x:c>
      <x:c r="M11" s="52" t="n">
        <x:f>IF(L11="","",ABS(L11))</x:f>
        <x:v>1.085</x:v>
      </x:c>
      <x:c r="N11" s="53" t="n">
        <x:f>IF(M11="","",M11/C11*100)</x:f>
        <x:v>34.66453674121406</x:v>
      </x:c>
      <x:c r="O11" s="17" t="str">
        <x:v>Predicted</x:v>
      </x:c>
    </x:row>
    <x:row r="12" ht="15" hidden="0" customHeight="1">
      <x:c r="A12" s="17" t="str">
        <x:v>Cauffopé &amp; Heymans 2005</x:v>
      </x:c>
      <x:c r="B12" s="17" t="str">
        <x:v>Ophiodon elongatus</x:v>
      </x:c>
      <x:c r="C12" s="52" t="n">
        <x:v>3.98</x:v>
      </x:c>
      <x:c r="D12" s="17" t="str">
        <x:v>Ophiodon</x:v>
      </x:c>
      <x:c r="E12" s="17" t="str">
        <x:v>Hexagrammidae</x:v>
      </x:c>
      <x:c r="F12" s="17" t="str">
        <x:v>Other demersal fishes</x:v>
      </x:c>
      <x:c r="G12" s="17" t="str">
        <x:v>Teleostei</x:v>
      </x:c>
      <x:c r="H12" s="17" t="n">
        <x:v>1</x:v>
      </x:c>
      <x:c r="I12" s="17" t="str">
        <x:v>No</x:v>
      </x:c>
      <x:c r="J12" s="17" t="str">
        <x:v>Ecological proxy</x:v>
      </x:c>
      <x:c r="K12" s="52" t="n">
        <x:v>5.06</x:v>
      </x:c>
      <x:c r="L12" s="52" t="n">
        <x:f>IF(K12="","",K12-C12)</x:f>
        <x:v>1.0799999999999996</x:v>
      </x:c>
      <x:c r="M12" s="52" t="n">
        <x:f>IF(L12="","",ABS(L12))</x:f>
        <x:v>1.0799999999999996</x:v>
      </x:c>
      <x:c r="N12" s="53" t="n">
        <x:f>IF(M12="","",M12/C12*100)</x:f>
        <x:v>27.13567839195979</x:v>
      </x:c>
      <x:c r="O12" s="17" t="str">
        <x:v>Predicted</x:v>
      </x:c>
    </x:row>
    <x:row r="13" ht="15" hidden="0" customHeight="1">
      <x:c r="A13" s="17" t="str">
        <x:v>Cauffopé &amp; Heymans 2005</x:v>
      </x:c>
      <x:c r="B13" s="17" t="str">
        <x:v>Pleurogrammus monopterygius</x:v>
      </x:c>
      <x:c r="C13" s="52" t="n">
        <x:v>4.02</x:v>
      </x:c>
      <x:c r="D13" s="17" t="str">
        <x:v>Pleurogrammus</x:v>
      </x:c>
      <x:c r="E13" s="17" t="str">
        <x:v>Hexagrammidae</x:v>
      </x:c>
      <x:c r="F13" s="17" t="str">
        <x:v>Other demersal fishes</x:v>
      </x:c>
      <x:c r="G13" s="17" t="str">
        <x:v>Teleostei</x:v>
      </x:c>
      <x:c r="H13" s="17" t="n">
        <x:v>1</x:v>
      </x:c>
      <x:c r="I13" s="17" t="str">
        <x:v>No</x:v>
      </x:c>
      <x:c r="J13" s="17" t="str">
        <x:v>Ecological proxy</x:v>
      </x:c>
      <x:c r="K13" s="52" t="n">
        <x:v>5.06</x:v>
      </x:c>
      <x:c r="L13" s="52" t="n">
        <x:f>IF(K13="","",K13-C13)</x:f>
        <x:v>1.04</x:v>
      </x:c>
      <x:c r="M13" s="52" t="n">
        <x:f>IF(L13="","",ABS(L13))</x:f>
        <x:v>1.04</x:v>
      </x:c>
      <x:c r="N13" s="53" t="n">
        <x:f>IF(M13="","",M13/C13*100)</x:f>
        <x:v>25.87064676616916</x:v>
      </x:c>
      <x:c r="O13" s="17" t="str">
        <x:v>Predicted</x:v>
      </x:c>
    </x:row>
    <x:row r="14" ht="15" hidden="0" customHeight="1">
      <x:c r="A14" s="17" t="str">
        <x:v>Cauffopé &amp; Heymans 2005</x:v>
      </x:c>
      <x:c r="B14" s="17" t="str">
        <x:v>Symplectoteuthis ovalaniensis</x:v>
      </x:c>
      <x:c r="C14" s="52" t="n">
        <x:v>5.59</x:v>
      </x:c>
      <x:c r="D14" s="17" t="str">
        <x:v>Symplectoteuthis</x:v>
      </x:c>
      <x:c r="E14" s="17" t="str">
        <x:v>Ommastrephidae</x:v>
      </x:c>
      <x:c r="F14" s="17" t="str">
        <x:v>Pelagic squids</x:v>
      </x:c>
      <x:c r="G14" s="17" t="str">
        <x:v>Cephalopoda</x:v>
      </x:c>
      <x:c r="H14" s="17" t="n">
        <x:v>1</x:v>
      </x:c>
      <x:c r="I14" s="17" t="str">
        <x:v>No</x:v>
      </x:c>
      <x:c r="J14" s="17" t="str">
        <x:v>Family</x:v>
      </x:c>
      <x:c r="K14" s="52" t="n">
        <x:v>4.4</x:v>
      </x:c>
      <x:c r="L14" s="52" t="n">
        <x:f>IF(K14="","",K14-C14)</x:f>
        <x:v>-1.1899999999999995</x:v>
      </x:c>
      <x:c r="M14" s="52" t="n">
        <x:f>IF(L14="","",ABS(L14))</x:f>
        <x:v>1.1899999999999995</x:v>
      </x:c>
      <x:c r="N14" s="53" t="n">
        <x:f>IF(M14="","",M14/C14*100)</x:f>
        <x:v>21.288014311270118</x:v>
      </x:c>
      <x:c r="O14" s="17" t="str">
        <x:v>Predicted</x:v>
      </x:c>
    </x:row>
    <x:row r="15" ht="15" hidden="0" customHeight="1">
      <x:c r="A15" s="17" t="str">
        <x:v>Cauffopé &amp; Heymans 2005</x:v>
      </x:c>
      <x:c r="B15" s="17" t="str">
        <x:v>Thaleichthys pacificus</x:v>
      </x:c>
      <x:c r="C15" s="52" t="n">
        <x:v>11.05</x:v>
      </x:c>
      <x:c r="D15" s="17" t="str">
        <x:v>Thaleichthys</x:v>
      </x:c>
      <x:c r="E15" s="17" t="str">
        <x:v>Osmeridae</x:v>
      </x:c>
      <x:c r="F15" s="17" t="str">
        <x:v>Small pelagic forage fishes</x:v>
      </x:c>
      <x:c r="G15" s="17" t="str">
        <x:v>Teleostei</x:v>
      </x:c>
      <x:c r="H15" s="17" t="n">
        <x:v>1</x:v>
      </x:c>
      <x:c r="I15" s="17" t="str">
        <x:v>No</x:v>
      </x:c>
      <x:c r="J15" s="17" t="str">
        <x:v>Ecological proxy</x:v>
      </x:c>
      <x:c r="K15" s="52" t="n">
        <x:v>6.5</x:v>
      </x:c>
      <x:c r="L15" s="52" t="n">
        <x:f>IF(K15="","",K15-C15)</x:f>
        <x:v>-4.550000000000001</x:v>
      </x:c>
      <x:c r="M15" s="52" t="n">
        <x:f>IF(L15="","",ABS(L15))</x:f>
        <x:v>4.550000000000001</x:v>
      </x:c>
      <x:c r="N15" s="53" t="n">
        <x:f>IF(M15="","",M15/C15*100)</x:f>
        <x:v>41.1764705882353</x:v>
      </x:c>
      <x:c r="O15" s="17" t="str">
        <x:v>Predicted</x:v>
      </x:c>
    </x:row>
    <x:row r="16" ht="15" hidden="0" customHeight="1">
      <x:c r="A16" s="17" t="str">
        <x:v>Cauffopé &amp; Heymans 2005</x:v>
      </x:c>
      <x:c r="B16" s="17" t="str">
        <x:v>Yoldia sapotilla</x:v>
      </x:c>
      <x:c r="C16" s="52" t="n">
        <x:v>2.88</x:v>
      </x:c>
      <x:c r="D16" s="17" t="str">
        <x:v>Yoldia</x:v>
      </x:c>
      <x:c r="E16" s="17" t="str">
        <x:v>Yoldiidae</x:v>
      </x:c>
      <x:c r="F16" s="17" t="str">
        <x:v>Benthic bivalves</x:v>
      </x:c>
      <x:c r="G16" s="17" t="str">
        <x:v>Mollusca (non-cephalopods)</x:v>
      </x:c>
      <x:c r="H16" s="17" t="n">
        <x:v>1</x:v>
      </x:c>
      <x:c r="I16" s="17" t="str">
        <x:v>No</x:v>
      </x:c>
      <x:c r="J16" s="17" t="str">
        <x:v>Ecological proxy</x:v>
      </x:c>
      <x:c r="K16" s="52" t="n">
        <x:v>2.15</x:v>
      </x:c>
      <x:c r="L16" s="52" t="n">
        <x:f>IF(K16="","",K16-C16)</x:f>
        <x:v>-0.73</x:v>
      </x:c>
      <x:c r="M16" s="52" t="n">
        <x:f>IF(L16="","",ABS(L16))</x:f>
        <x:v>0.73</x:v>
      </x:c>
      <x:c r="N16" s="53" t="n">
        <x:f>IF(M16="","",M16/C16*100)</x:f>
        <x:v>25.34722222222222</x:v>
      </x:c>
      <x:c r="O16" s="17" t="str">
        <x:v>Predicted</x:v>
      </x:c>
    </x:row>
    <x:row r="17" ht="15" hidden="0" customHeight="1">
      <x:c r="A17" s="17" t="str">
        <x:v>Cauffopé &amp; Heymans 2005</x:v>
      </x:c>
      <x:c r="B17" s="17" t="str">
        <x:v>Yoldia thraciaeformis</x:v>
      </x:c>
      <x:c r="C17" s="52" t="n">
        <x:v>2.13</x:v>
      </x:c>
      <x:c r="D17" s="17" t="str">
        <x:v>Yoldia</x:v>
      </x:c>
      <x:c r="E17" s="17" t="str">
        <x:v>Yoldiidae</x:v>
      </x:c>
      <x:c r="F17" s="17" t="str">
        <x:v>Benthic bivalves</x:v>
      </x:c>
      <x:c r="G17" s="17" t="str">
        <x:v>Mollusca (non-cephalopods)</x:v>
      </x:c>
      <x:c r="H17" s="17" t="n">
        <x:v>1</x:v>
      </x:c>
      <x:c r="I17" s="17" t="str">
        <x:v>No</x:v>
      </x:c>
      <x:c r="J17" s="17" t="str">
        <x:v>Ecological proxy</x:v>
      </x:c>
      <x:c r="K17" s="52" t="n">
        <x:v>2.15</x:v>
      </x:c>
      <x:c r="L17" s="52" t="n">
        <x:f>IF(K17="","",K17-C17)</x:f>
        <x:v>0.020000000000000018</x:v>
      </x:c>
      <x:c r="M17" s="52" t="n">
        <x:f>IF(L17="","",ABS(L17))</x:f>
        <x:v>0.020000000000000018</x:v>
      </x:c>
      <x:c r="N17" s="53" t="n">
        <x:f>IF(M17="","",M17/C17*100)</x:f>
        <x:v>0.9389671361502356</x:v>
      </x:c>
      <x:c r="O17" s="17" t="str">
        <x:v>Predicted</x:v>
      </x:c>
    </x:row>
    <x:row r="18" ht="15" hidden="0" customHeight="1">
      <x:c r="A18" s="17" t="str">
        <x:v>Lawson et al. 2018</x:v>
      </x:c>
      <x:c r="B18" s="17" t="str">
        <x:v>Acanthopagrus australis</x:v>
      </x:c>
      <x:c r="C18" s="52" t="n">
        <x:v>5.75</x:v>
      </x:c>
      <x:c r="D18" s="17" t="str">
        <x:v>Acanthopagrus</x:v>
      </x:c>
      <x:c r="E18" s="17" t="str">
        <x:v>Sparidae</x:v>
      </x:c>
      <x:c r="F18" s="17" t="str">
        <x:v>Other demersal fishes</x:v>
      </x:c>
      <x:c r="G18" s="17" t="str">
        <x:v>Teleostei</x:v>
      </x:c>
      <x:c r="H18" s="17" t="n">
        <x:v>1</x:v>
      </x:c>
      <x:c r="I18" s="17" t="str">
        <x:v>No</x:v>
      </x:c>
      <x:c r="J18" s="17" t="str">
        <x:v>Genus</x:v>
      </x:c>
      <x:c r="K18" s="52" t="n">
        <x:v>5.97</x:v>
      </x:c>
      <x:c r="L18" s="52" t="n">
        <x:f>IF(K18="","",K18-C18)</x:f>
        <x:v>0.21999999999999975</x:v>
      </x:c>
      <x:c r="M18" s="52" t="n">
        <x:f>IF(L18="","",ABS(L18))</x:f>
        <x:v>0.21999999999999975</x:v>
      </x:c>
      <x:c r="N18" s="53" t="n">
        <x:f>IF(M18="","",M18/C18*100)</x:f>
        <x:v>3.826086956521735</x:v>
      </x:c>
      <x:c r="O18" s="17" t="str">
        <x:v>Predicted</x:v>
      </x:c>
    </x:row>
    <x:row r="19" ht="15" hidden="0" customHeight="1">
      <x:c r="A19" s="17" t="str">
        <x:v>Lawson et al. 2018</x:v>
      </x:c>
      <x:c r="B19" s="17" t="str">
        <x:v>Gerres subfasciatus</x:v>
      </x:c>
      <x:c r="C19" s="52" t="n">
        <x:v>5.2</x:v>
      </x:c>
      <x:c r="D19" s="17" t="str">
        <x:v>Gerres</x:v>
      </x:c>
      <x:c r="E19" s="17" t="str">
        <x:v>Gerreidae</x:v>
      </x:c>
      <x:c r="F19" s="17" t="str">
        <x:v>Other demersal fishes</x:v>
      </x:c>
      <x:c r="G19" s="17" t="str">
        <x:v>Teleostei</x:v>
      </x:c>
      <x:c r="H19" s="17" t="n">
        <x:v>1</x:v>
      </x:c>
      <x:c r="I19" s="17" t="str">
        <x:v>No</x:v>
      </x:c>
      <x:c r="J19" s="17" t="str">
        <x:v>Ecological proxy</x:v>
      </x:c>
      <x:c r="K19" s="52" t="n">
        <x:v>4.7</x:v>
      </x:c>
      <x:c r="L19" s="52" t="n">
        <x:f>IF(K19="","",K19-C19)</x:f>
        <x:v>-0.5</x:v>
      </x:c>
      <x:c r="M19" s="52" t="n">
        <x:f>IF(L19="","",ABS(L19))</x:f>
        <x:v>0.5</x:v>
      </x:c>
      <x:c r="N19" s="53" t="n">
        <x:f>IF(M19="","",M19/C19*100)</x:f>
        <x:v>9.615384615384615</x:v>
      </x:c>
      <x:c r="O19" s="17" t="str">
        <x:v>Predicted</x:v>
      </x:c>
    </x:row>
    <x:row r="20" ht="15" hidden="0" customHeight="1">
      <x:c r="A20" s="17" t="str">
        <x:v>Lawson et al. 2018</x:v>
      </x:c>
      <x:c r="B20" s="17" t="str">
        <x:v>Hyperlophus vittatus</x:v>
      </x:c>
      <x:c r="C20" s="52" t="n">
        <x:v>4.24</x:v>
      </x:c>
      <x:c r="D20" s="17" t="str">
        <x:v>Hyperlophus</x:v>
      </x:c>
      <x:c r="E20" s="17" t="str">
        <x:v>Clupeidae</x:v>
      </x:c>
      <x:c r="F20" s="17" t="str">
        <x:v>Small pelagic forage fishes</x:v>
      </x:c>
      <x:c r="G20" s="17" t="str">
        <x:v>Teleostei</x:v>
      </x:c>
      <x:c r="H20" s="17" t="n">
        <x:v>1</x:v>
      </x:c>
      <x:c r="I20" s="17" t="str">
        <x:v>Yes</x:v>
      </x:c>
      <x:c r="J20" s="17" t="str">
        <x:v>Exact taxon</x:v>
      </x:c>
      <x:c r="K20" s="52" t="n">
        <x:v>4.64</x:v>
      </x:c>
      <x:c r="L20" s="52" t="n">
        <x:f>IF(K20="","",K20-C20)</x:f>
        <x:v>0.39999999999999947</x:v>
      </x:c>
      <x:c r="M20" s="52" t="n">
        <x:f>IF(L20="","",ABS(L20))</x:f>
        <x:v>0.39999999999999947</x:v>
      </x:c>
      <x:c r="N20" s="53" t="n">
        <x:f>IF(M20="","",M20/C20*100)</x:f>
        <x:v>9.43396226415093</x:v>
      </x:c>
      <x:c r="O20" s="17" t="str">
        <x:v>Predicted</x:v>
      </x:c>
    </x:row>
    <x:row r="21" ht="15" hidden="0" customHeight="1">
      <x:c r="A21" s="17" t="str">
        <x:v>Lawson et al. 2018</x:v>
      </x:c>
      <x:c r="B21" s="17" t="str">
        <x:v>Hyporhamphus regularis</x:v>
      </x:c>
      <x:c r="C21" s="52" t="n">
        <x:v>5.81</x:v>
      </x:c>
      <x:c r="D21" s="17" t="str">
        <x:v>Hyporhamphus</x:v>
      </x:c>
      <x:c r="E21" s="17" t="str">
        <x:v>Hemiramphidae</x:v>
      </x:c>
      <x:c r="F21" s="17" t="str">
        <x:v>Coastal surface-dwelling fishes</x:v>
      </x:c>
      <x:c r="G21" s="17" t="str">
        <x:v>Teleostei</x:v>
      </x:c>
      <x:c r="H21" s="17" t="n">
        <x:v>1</x:v>
      </x:c>
      <x:c r="I21" s="17" t="str">
        <x:v>Yes</x:v>
      </x:c>
      <x:c r="J21" s="17" t="str">
        <x:v>Exact taxon</x:v>
      </x:c>
      <x:c r="K21" s="52" t="n">
        <x:v>5.85</x:v>
      </x:c>
      <x:c r="L21" s="52" t="n">
        <x:f>IF(K21="","",K21-C21)</x:f>
        <x:v>0.040000000000000036</x:v>
      </x:c>
      <x:c r="M21" s="52" t="n">
        <x:f>IF(L21="","",ABS(L21))</x:f>
        <x:v>0.040000000000000036</x:v>
      </x:c>
      <x:c r="N21" s="53" t="n">
        <x:f>IF(M21="","",M21/C21*100)</x:f>
        <x:v>0.688468158347677</x:v>
      </x:c>
      <x:c r="O21" s="17" t="str">
        <x:v>Predicted</x:v>
      </x:c>
    </x:row>
    <x:row r="22" ht="15" hidden="0" customHeight="1">
      <x:c r="A22" s="17" t="str">
        <x:v>Lawson et al. 2018</x:v>
      </x:c>
      <x:c r="B22" s="17" t="str">
        <x:v>Liza argentea</x:v>
      </x:c>
      <x:c r="C22" s="52" t="n">
        <x:v>5.39</x:v>
      </x:c>
      <x:c r="D22" s="17" t="str">
        <x:v>Liza</x:v>
      </x:c>
      <x:c r="E22" s="17" t="str">
        <x:v>Mugilidae</x:v>
      </x:c>
      <x:c r="F22" s="17" t="str">
        <x:v>Estuarine/coastal fishes</x:v>
      </x:c>
      <x:c r="G22" s="17" t="str">
        <x:v>Teleostei</x:v>
      </x:c>
      <x:c r="H22" s="17" t="n">
        <x:v>1</x:v>
      </x:c>
      <x:c r="I22" s="17" t="str">
        <x:v>No</x:v>
      </x:c>
      <x:c r="J22" s="17" t="str">
        <x:v>Genus</x:v>
      </x:c>
      <x:c r="K22" s="52" t="n">
        <x:v>6.5</x:v>
      </x:c>
      <x:c r="L22" s="52" t="n">
        <x:f>IF(K22="","",K22-C22)</x:f>
        <x:v>1.1100000000000003</x:v>
      </x:c>
      <x:c r="M22" s="52" t="n">
        <x:f>IF(L22="","",ABS(L22))</x:f>
        <x:v>1.1100000000000003</x:v>
      </x:c>
      <x:c r="N22" s="53" t="n">
        <x:f>IF(M22="","",M22/C22*100)</x:f>
        <x:v>20.593692022263458</x:v>
      </x:c>
      <x:c r="O22" s="17" t="str">
        <x:v>Predicted</x:v>
      </x:c>
    </x:row>
    <x:row r="23" ht="15" hidden="0" customHeight="1">
      <x:c r="A23" s="17" t="str">
        <x:v>Lawson et al. 2018</x:v>
      </x:c>
      <x:c r="B23" s="17" t="str">
        <x:v>Metapenaeus macleayi</x:v>
      </x:c>
      <x:c r="C23" s="52" t="n">
        <x:v>3.84</x:v>
      </x:c>
      <x:c r="D23" s="17" t="str">
        <x:v>Metapenaeus</x:v>
      </x:c>
      <x:c r="E23" s="17" t="str">
        <x:v>Penaeidae</x:v>
      </x:c>
      <x:c r="F23" s="17" t="str">
        <x:v>Decapods (ecology unspecified)</x:v>
      </x:c>
      <x:c r="G23" s="17" t="str">
        <x:v>Crustacea</x:v>
      </x:c>
      <x:c r="H23" s="17" t="n">
        <x:v>1</x:v>
      </x:c>
      <x:c r="I23" s="17" t="str">
        <x:v>No</x:v>
      </x:c>
      <x:c r="J23" s="17" t="str">
        <x:v>Ecological proxy</x:v>
      </x:c>
      <x:c r="K23" s="52" t="n">
        <x:v>4.1</x:v>
      </x:c>
      <x:c r="L23" s="52" t="n">
        <x:f>IF(K23="","",K23-C23)</x:f>
        <x:v>0.2599999999999998</x:v>
      </x:c>
      <x:c r="M23" s="52" t="n">
        <x:f>IF(L23="","",ABS(L23))</x:f>
        <x:v>0.2599999999999998</x:v>
      </x:c>
      <x:c r="N23" s="53" t="n">
        <x:f>IF(M23="","",M23/C23*100)</x:f>
        <x:v>6.770833333333329</x:v>
      </x:c>
      <x:c r="O23" s="17" t="str">
        <x:v>Predicted</x:v>
      </x:c>
    </x:row>
    <x:row r="24" ht="15" hidden="0" customHeight="1">
      <x:c r="A24" s="17" t="str">
        <x:v>Lawson et al. 2018</x:v>
      </x:c>
      <x:c r="B24" s="17" t="str">
        <x:v>Pomatomus saltatrix</x:v>
      </x:c>
      <x:c r="C24" s="52" t="n">
        <x:v>7.06</x:v>
      </x:c>
      <x:c r="D24" s="17" t="str">
        <x:v>Pomatomus</x:v>
      </x:c>
      <x:c r="E24" s="17" t="str">
        <x:v>Pomatomidae</x:v>
      </x:c>
      <x:c r="F24" s="17" t="str">
        <x:v>Pelagic predatory fishes</x:v>
      </x:c>
      <x:c r="G24" s="17" t="str">
        <x:v>Teleostei</x:v>
      </x:c>
      <x:c r="H24" s="17" t="n">
        <x:v>1</x:v>
      </x:c>
      <x:c r="I24" s="17" t="str">
        <x:v>No</x:v>
      </x:c>
      <x:c r="J24" s="17" t="str">
        <x:v>Broad</x:v>
      </x:c>
      <x:c r="K24" s="52" t="n">
        <x:v>5.64</x:v>
      </x:c>
      <x:c r="L24" s="52" t="n">
        <x:f>IF(K24="","",K24-C24)</x:f>
        <x:v>-1.42</x:v>
      </x:c>
      <x:c r="M24" s="52" t="n">
        <x:f>IF(L24="","",ABS(L24))</x:f>
        <x:v>1.42</x:v>
      </x:c>
      <x:c r="N24" s="53" t="n">
        <x:f>IF(M24="","",M24/C24*100)</x:f>
        <x:v>20.113314447592067</x:v>
      </x:c>
      <x:c r="O24" s="17" t="str">
        <x:v>Predicted</x:v>
      </x:c>
    </x:row>
    <x:row r="25" ht="15" hidden="0" customHeight="1">
      <x:c r="A25" s="17" t="str">
        <x:v>Lawson et al. 2018</x:v>
      </x:c>
      <x:c r="B25" s="17" t="str">
        <x:v>Sardinops sagax</x:v>
      </x:c>
      <x:c r="C25" s="52" t="n">
        <x:v>6.84</x:v>
      </x:c>
      <x:c r="D25" s="17" t="str">
        <x:v>Sardinops</x:v>
      </x:c>
      <x:c r="E25" s="17" t="str">
        <x:v>Clupeidae</x:v>
      </x:c>
      <x:c r="F25" s="17" t="str">
        <x:v>Small pelagic forage fishes</x:v>
      </x:c>
      <x:c r="G25" s="17" t="str">
        <x:v>Teleostei</x:v>
      </x:c>
      <x:c r="H25" s="17" t="n">
        <x:v>1</x:v>
      </x:c>
      <x:c r="I25" s="17" t="str">
        <x:v>Yes</x:v>
      </x:c>
      <x:c r="J25" s="17" t="str">
        <x:v>Exact taxon</x:v>
      </x:c>
      <x:c r="K25" s="52" t="n">
        <x:v>6.66</x:v>
      </x:c>
      <x:c r="L25" s="52" t="n">
        <x:f>IF(K25="","",K25-C25)</x:f>
        <x:v>-0.17999999999999972</x:v>
      </x:c>
      <x:c r="M25" s="52" t="n">
        <x:f>IF(L25="","",ABS(L25))</x:f>
        <x:v>0.17999999999999972</x:v>
      </x:c>
      <x:c r="N25" s="53" t="n">
        <x:f>IF(M25="","",M25/C25*100)</x:f>
        <x:v>2.6315789473684172</x:v>
      </x:c>
      <x:c r="O25" s="17" t="str">
        <x:v>Predicted</x:v>
      </x:c>
    </x:row>
    <x:row r="26" ht="15" hidden="0" customHeight="1">
      <x:c r="A26" s="17" t="str">
        <x:v>Lawson et al. 2018</x:v>
      </x:c>
      <x:c r="B26" s="17" t="str">
        <x:v>Scomber australasicus</x:v>
      </x:c>
      <x:c r="C26" s="52" t="n">
        <x:v>5.43</x:v>
      </x:c>
      <x:c r="D26" s="17" t="str">
        <x:v>Scomber</x:v>
      </x:c>
      <x:c r="E26" s="17" t="str">
        <x:v>Scombridae</x:v>
      </x:c>
      <x:c r="F26" s="17" t="str">
        <x:v>Small pelagic forage fishes</x:v>
      </x:c>
      <x:c r="G26" s="17" t="str">
        <x:v>Teleostei</x:v>
      </x:c>
      <x:c r="H26" s="17" t="n">
        <x:v>1</x:v>
      </x:c>
      <x:c r="I26" s="17" t="str">
        <x:v>No</x:v>
      </x:c>
      <x:c r="J26" s="17" t="str">
        <x:v>Genus</x:v>
      </x:c>
      <x:c r="K26" s="52" t="n">
        <x:v>6.815</x:v>
      </x:c>
      <x:c r="L26" s="52" t="n">
        <x:f>IF(K26="","",K26-C26)</x:f>
        <x:v>1.3850000000000007</x:v>
      </x:c>
      <x:c r="M26" s="52" t="n">
        <x:f>IF(L26="","",ABS(L26))</x:f>
        <x:v>1.3850000000000007</x:v>
      </x:c>
      <x:c r="N26" s="53" t="n">
        <x:f>IF(M26="","",M26/C26*100)</x:f>
        <x:v>25.506445672191543</x:v>
      </x:c>
      <x:c r="O26" s="17" t="str">
        <x:v>Predicted</x:v>
      </x:c>
    </x:row>
    <x:row r="27" ht="15" hidden="0" customHeight="1">
      <x:c r="A27" s="17" t="str">
        <x:v>Lawson et al. 2018</x:v>
      </x:c>
      <x:c r="B27" s="17" t="str">
        <x:v>Sillago ciliata</x:v>
      </x:c>
      <x:c r="C27" s="52" t="n">
        <x:v>5.02</x:v>
      </x:c>
      <x:c r="D27" s="17" t="str">
        <x:v>Sillago</x:v>
      </x:c>
      <x:c r="E27" s="17" t="str">
        <x:v>Sillaginidae</x:v>
      </x:c>
      <x:c r="F27" s="17" t="str">
        <x:v>Other demersal fishes</x:v>
      </x:c>
      <x:c r="G27" s="17" t="str">
        <x:v>Teleostei</x:v>
      </x:c>
      <x:c r="H27" s="17" t="n">
        <x:v>1</x:v>
      </x:c>
      <x:c r="I27" s="17" t="str">
        <x:v>No</x:v>
      </x:c>
      <x:c r="J27" s="17" t="str">
        <x:v>Ecological proxy</x:v>
      </x:c>
      <x:c r="K27" s="52" t="n">
        <x:v>4.7</x:v>
      </x:c>
      <x:c r="L27" s="52" t="n">
        <x:f>IF(K27="","",K27-C27)</x:f>
        <x:v>-0.3199999999999994</x:v>
      </x:c>
      <x:c r="M27" s="52" t="n">
        <x:f>IF(L27="","",ABS(L27))</x:f>
        <x:v>0.3199999999999994</x:v>
      </x:c>
      <x:c r="N27" s="53" t="n">
        <x:f>IF(M27="","",M27/C27*100)</x:f>
        <x:v>6.3745019920318615</x:v>
      </x:c>
      <x:c r="O27" s="17" t="str">
        <x:v>Predicted</x:v>
      </x:c>
    </x:row>
    <x:row r="28" ht="15" hidden="0" customHeight="1">
      <x:c r="A28" s="17" t="str">
        <x:v>Lawson et al. 2018</x:v>
      </x:c>
      <x:c r="B28" s="17" t="str">
        <x:v>Trachurus novaezelandiae</x:v>
      </x:c>
      <x:c r="C28" s="52" t="n">
        <x:v>5.78</x:v>
      </x:c>
      <x:c r="D28" s="17" t="str">
        <x:v>Trachurus</x:v>
      </x:c>
      <x:c r="E28" s="17" t="str">
        <x:v>Carangidae</x:v>
      </x:c>
      <x:c r="F28" s="17" t="str">
        <x:v>Small pelagic forage fishes</x:v>
      </x:c>
      <x:c r="G28" s="17" t="str">
        <x:v>Teleostei</x:v>
      </x:c>
      <x:c r="H28" s="17" t="n">
        <x:v>1</x:v>
      </x:c>
      <x:c r="I28" s="17" t="str">
        <x:v>No</x:v>
      </x:c>
      <x:c r="J28" s="17" t="str">
        <x:v>Genus</x:v>
      </x:c>
      <x:c r="K28" s="52" t="n">
        <x:v>6</x:v>
      </x:c>
      <x:c r="L28" s="52" t="n">
        <x:f>IF(K28="","",K28-C28)</x:f>
        <x:v>0.21999999999999975</x:v>
      </x:c>
      <x:c r="M28" s="52" t="n">
        <x:f>IF(L28="","",ABS(L28))</x:f>
        <x:v>0.21999999999999975</x:v>
      </x:c>
      <x:c r="N28" s="53" t="n">
        <x:f>IF(M28="","",M28/C28*100)</x:f>
        <x:v>3.806228373702418</x:v>
      </x:c>
      <x:c r="O28" s="17" t="str">
        <x:v>Predicted</x:v>
      </x:c>
    </x:row>
    <x:row r="29" ht="15" hidden="0" customHeight="1">
      <x:c r="A29" s="17" t="str">
        <x:v>Nitschke et al. 2026</x:v>
      </x:c>
      <x:c r="B29" s="17" t="str">
        <x:v>Acanthopagrus butcheri</x:v>
      </x:c>
      <x:c r="C29" s="52" t="n">
        <x:v>5.97</x:v>
      </x:c>
      <x:c r="D29" s="17" t="str">
        <x:v>Acanthopagrus</x:v>
      </x:c>
      <x:c r="E29" s="17" t="str">
        <x:v>Sparidae</x:v>
      </x:c>
      <x:c r="F29" s="17" t="str">
        <x:v>Other demersal fishes</x:v>
      </x:c>
      <x:c r="G29" s="17" t="str">
        <x:v>Teleostei</x:v>
      </x:c>
      <x:c r="H29" s="17" t="n">
        <x:v>1</x:v>
      </x:c>
      <x:c r="I29" s="17" t="str">
        <x:v>No</x:v>
      </x:c>
      <x:c r="J29" s="17" t="str">
        <x:v>Genus</x:v>
      </x:c>
      <x:c r="K29" s="52" t="n">
        <x:v>5.75</x:v>
      </x:c>
      <x:c r="L29" s="52" t="n">
        <x:f>IF(K29="","",K29-C29)</x:f>
        <x:v>-0.21999999999999975</x:v>
      </x:c>
      <x:c r="M29" s="52" t="n">
        <x:f>IF(L29="","",ABS(L29))</x:f>
        <x:v>0.21999999999999975</x:v>
      </x:c>
      <x:c r="N29" s="53" t="n">
        <x:f>IF(M29="","",M29/C29*100)</x:f>
        <x:v>3.6850921273031787</x:v>
      </x:c>
      <x:c r="O29" s="17" t="str">
        <x:v>Predicted</x:v>
      </x:c>
    </x:row>
    <x:row r="30" ht="15" hidden="0" customHeight="1">
      <x:c r="A30" s="17" t="str">
        <x:v>Nitschke et al. 2026</x:v>
      </x:c>
      <x:c r="B30" s="17" t="str">
        <x:v>Afurcagobius tamarensis</x:v>
      </x:c>
      <x:c r="C30" s="52" t="n">
        <x:v>5</x:v>
      </x:c>
      <x:c r="D30" s="17" t="str">
        <x:v>Afurcagobius</x:v>
      </x:c>
      <x:c r="E30" s="17" t="str">
        <x:v>Gobiidae</x:v>
      </x:c>
      <x:c r="F30" s="17" t="str">
        <x:v>Small demersal zoobenthivorous fishes</x:v>
      </x:c>
      <x:c r="G30" s="17" t="str">
        <x:v>Teleostei</x:v>
      </x:c>
      <x:c r="H30" s="17" t="n">
        <x:v>1</x:v>
      </x:c>
      <x:c r="I30" s="17" t="str">
        <x:v>No</x:v>
      </x:c>
      <x:c r="J30" s="17" t="str">
        <x:v>Family</x:v>
      </x:c>
      <x:c r="K30" s="52" t="n">
        <x:v>4.26</x:v>
      </x:c>
      <x:c r="L30" s="52" t="n">
        <x:f>IF(K30="","",K30-C30)</x:f>
        <x:v>-0.7400000000000002</x:v>
      </x:c>
      <x:c r="M30" s="52" t="n">
        <x:f>IF(L30="","",ABS(L30))</x:f>
        <x:v>0.7400000000000002</x:v>
      </x:c>
      <x:c r="N30" s="53" t="n">
        <x:f>IF(M30="","",M30/C30*100)</x:f>
        <x:v>14.800000000000004</x:v>
      </x:c>
      <x:c r="O30" s="17" t="str">
        <x:v>Predicted</x:v>
      </x:c>
    </x:row>
    <x:row r="31" ht="15" hidden="0" customHeight="1">
      <x:c r="A31" s="17" t="str">
        <x:v>Nitschke et al. 2026</x:v>
      </x:c>
      <x:c r="B31" s="17" t="str">
        <x:v>Aglaophamus australiensis</x:v>
      </x:c>
      <x:c r="C31" s="52" t="n">
        <x:v>1.06</x:v>
      </x:c>
      <x:c r="D31" s="17" t="str">
        <x:v>Aglaophamus</x:v>
      </x:c>
      <x:c r="E31" s="17" t="str">
        <x:v>Nephtyidae</x:v>
      </x:c>
      <x:c r="F31" s="17" t="str">
        <x:v>Other benthic polychaetes</x:v>
      </x:c>
      <x:c r="G31" s="17" t="str">
        <x:v>Annelida</x:v>
      </x:c>
      <x:c r="H31" s="17" t="n">
        <x:v>1</x:v>
      </x:c>
      <x:c r="I31" s="17" t="str">
        <x:v>No</x:v>
      </x:c>
      <x:c r="J31" s="17" t="str">
        <x:v>Ecological proxy</x:v>
      </x:c>
      <x:c r="K31" s="52" t="n">
        <x:v>3.06</x:v>
      </x:c>
      <x:c r="L31" s="52" t="n">
        <x:f>IF(K31="","",K31-C31)</x:f>
        <x:v>2</x:v>
      </x:c>
      <x:c r="M31" s="52" t="n">
        <x:f>IF(L31="","",ABS(L31))</x:f>
        <x:v>2</x:v>
      </x:c>
      <x:c r="N31" s="53" t="n">
        <x:f>IF(M31="","",M31/C31*100)</x:f>
        <x:v>188.67924528301884</x:v>
      </x:c>
      <x:c r="O31" s="17" t="str">
        <x:v>Predicted</x:v>
      </x:c>
    </x:row>
    <x:row r="32" ht="15" hidden="0" customHeight="1">
      <x:c r="A32" s="17" t="str">
        <x:v>Nitschke et al. 2026</x:v>
      </x:c>
      <x:c r="B32" s="17" t="str">
        <x:v>Aldrichetta forsteri</x:v>
      </x:c>
      <x:c r="C32" s="52" t="n">
        <x:v>6.14</x:v>
      </x:c>
      <x:c r="D32" s="17" t="str">
        <x:v>Aldrichetta</x:v>
      </x:c>
      <x:c r="E32" s="17" t="str">
        <x:v>Mugilidae</x:v>
      </x:c>
      <x:c r="F32" s="17" t="str">
        <x:v>Estuarine/coastal fishes</x:v>
      </x:c>
      <x:c r="G32" s="17" t="str">
        <x:v>Teleostei</x:v>
      </x:c>
      <x:c r="H32" s="17" t="n">
        <x:v>3</x:v>
      </x:c>
      <x:c r="I32" s="17" t="str">
        <x:v>No</x:v>
      </x:c>
      <x:c r="J32" s="17" t="str">
        <x:v>Family</x:v>
      </x:c>
      <x:c r="K32" s="52" t="n">
        <x:v>5.945</x:v>
      </x:c>
      <x:c r="L32" s="52" t="n">
        <x:f>IF(K32="","",K32-C32)</x:f>
        <x:v>-0.1949999999999994</x:v>
      </x:c>
      <x:c r="M32" s="52" t="n">
        <x:f>IF(L32="","",ABS(L32))</x:f>
        <x:v>0.1949999999999994</x:v>
      </x:c>
      <x:c r="N32" s="53" t="n">
        <x:f>IF(M32="","",M32/C32*100)</x:f>
        <x:v>3.175895765472303</x:v>
      </x:c>
      <x:c r="O32" s="17" t="str">
        <x:v>Predicted</x:v>
      </x:c>
    </x:row>
    <x:row r="33" ht="15" hidden="0" customHeight="1">
      <x:c r="A33" s="17" t="str">
        <x:v>Nitschke et al. 2026</x:v>
      </x:c>
      <x:c r="B33" s="17" t="str">
        <x:v>Amarinus laevis</x:v>
      </x:c>
      <x:c r="C33" s="52" t="n">
        <x:v>2.13</x:v>
      </x:c>
      <x:c r="D33" s="17" t="str">
        <x:v>Amarinus</x:v>
      </x:c>
      <x:c r="E33" s="17" t="str">
        <x:v>Hymenosomatidae</x:v>
      </x:c>
      <x:c r="F33" s="17" t="str">
        <x:v>Benthic decapods</x:v>
      </x:c>
      <x:c r="G33" s="17" t="str">
        <x:v>Crustacea</x:v>
      </x:c>
      <x:c r="H33" s="17" t="n">
        <x:v>1</x:v>
      </x:c>
      <x:c r="I33" s="17" t="str">
        <x:v>No</x:v>
      </x:c>
      <x:c r="J33" s="17" t="str">
        <x:v>Ecological proxy</x:v>
      </x:c>
      <x:c r="K33" s="52" t="n">
        <x:v>2.63</x:v>
      </x:c>
      <x:c r="L33" s="52" t="n">
        <x:f>IF(K33="","",K33-C33)</x:f>
        <x:v>0.5</x:v>
      </x:c>
      <x:c r="M33" s="52" t="n">
        <x:f>IF(L33="","",ABS(L33))</x:f>
        <x:v>0.5</x:v>
      </x:c>
      <x:c r="N33" s="53" t="n">
        <x:f>IF(M33="","",M33/C33*100)</x:f>
        <x:v>23.474178403755868</x:v>
      </x:c>
      <x:c r="O33" s="17" t="str">
        <x:v>Predicted</x:v>
      </x:c>
    </x:row>
    <x:row r="34" ht="15" hidden="0" customHeight="1">
      <x:c r="A34" s="17" t="str">
        <x:v>Nitschke et al. 2026</x:v>
      </x:c>
      <x:c r="B34" s="17" t="str">
        <x:v>Ammotretis rostratus</x:v>
      </x:c>
      <x:c r="C34" s="52" t="n">
        <x:v>4.72</x:v>
      </x:c>
      <x:c r="D34" s="17" t="str">
        <x:v>Ammotretis</x:v>
      </x:c>
      <x:c r="E34" s="17" t="str">
        <x:v>Pleuronectidae</x:v>
      </x:c>
      <x:c r="F34" s="17" t="str">
        <x:v>Demersal flatfishes</x:v>
      </x:c>
      <x:c r="G34" s="17" t="str">
        <x:v>Teleostei</x:v>
      </x:c>
      <x:c r="H34" s="17" t="n">
        <x:v>1</x:v>
      </x:c>
      <x:c r="I34" s="17" t="str">
        <x:v>No</x:v>
      </x:c>
      <x:c r="J34" s="17" t="str">
        <x:v>Family</x:v>
      </x:c>
      <x:c r="K34" s="52" t="n">
        <x:v>5.8</x:v>
      </x:c>
      <x:c r="L34" s="52" t="n">
        <x:f>IF(K34="","",K34-C34)</x:f>
        <x:v>1.08</x:v>
      </x:c>
      <x:c r="M34" s="52" t="n">
        <x:f>IF(L34="","",ABS(L34))</x:f>
        <x:v>1.08</x:v>
      </x:c>
      <x:c r="N34" s="53" t="n">
        <x:f>IF(M34="","",M34/C34*100)</x:f>
        <x:v>22.88135593220339</x:v>
      </x:c>
      <x:c r="O34" s="17" t="str">
        <x:v>Predicted</x:v>
      </x:c>
    </x:row>
    <x:row r="35" ht="15" hidden="0" customHeight="1">
      <x:c r="A35" s="17" t="str">
        <x:v>Nitschke et al. 2026</x:v>
      </x:c>
      <x:c r="B35" s="17" t="str">
        <x:v>Argyrosomus japonicus</x:v>
      </x:c>
      <x:c r="C35" s="52" t="n">
        <x:v>5.56</x:v>
      </x:c>
      <x:c r="D35" s="17" t="str">
        <x:v>Argyrosomus</x:v>
      </x:c>
      <x:c r="E35" s="17" t="str">
        <x:v>Sciaenidae</x:v>
      </x:c>
      <x:c r="F35" s="17" t="str">
        <x:v>Other demersal fishes</x:v>
      </x:c>
      <x:c r="G35" s="17" t="str">
        <x:v>Teleostei</x:v>
      </x:c>
      <x:c r="H35" s="17" t="n">
        <x:v>1</x:v>
      </x:c>
      <x:c r="I35" s="17" t="str">
        <x:v>No</x:v>
      </x:c>
      <x:c r="J35" s="17" t="str">
        <x:v>Ecological proxy</x:v>
      </x:c>
      <x:c r="K35" s="52" t="n">
        <x:v>4.7</x:v>
      </x:c>
      <x:c r="L35" s="52" t="n">
        <x:f>IF(K35="","",K35-C35)</x:f>
        <x:v>-0.8599999999999994</x:v>
      </x:c>
      <x:c r="M35" s="52" t="n">
        <x:f>IF(L35="","",ABS(L35))</x:f>
        <x:v>0.8599999999999994</x:v>
      </x:c>
      <x:c r="N35" s="53" t="n">
        <x:f>IF(M35="","",M35/C35*100)</x:f>
        <x:v>15.467625899280565</x:v>
      </x:c>
      <x:c r="O35" s="17" t="str">
        <x:v>Predicted</x:v>
      </x:c>
    </x:row>
    <x:row r="36" ht="15" hidden="0" customHeight="1">
      <x:c r="A36" s="17" t="str">
        <x:v>Nitschke et al. 2026</x:v>
      </x:c>
      <x:c r="B36" s="17" t="str">
        <x:v>Arripis truttaceus</x:v>
      </x:c>
      <x:c r="C36" s="52" t="n">
        <x:v>5.92</x:v>
      </x:c>
      <x:c r="D36" s="17" t="str">
        <x:v>Arripis</x:v>
      </x:c>
      <x:c r="E36" s="17" t="str">
        <x:v>Arripidae</x:v>
      </x:c>
      <x:c r="F36" s="17" t="str">
        <x:v>Other pelagic fishes</x:v>
      </x:c>
      <x:c r="G36" s="17" t="str">
        <x:v>Teleostei</x:v>
      </x:c>
      <x:c r="H36" s="17" t="n">
        <x:v>1</x:v>
      </x:c>
      <x:c r="I36" s="17" t="str">
        <x:v>No</x:v>
      </x:c>
      <x:c r="J36" s="17" t="str">
        <x:v>Broad</x:v>
      </x:c>
      <x:c r="K36" s="52" t="n">
        <x:v>5.675</x:v>
      </x:c>
      <x:c r="L36" s="52" t="n">
        <x:f>IF(K36="","",K36-C36)</x:f>
        <x:v>-0.2450000000000001</x:v>
      </x:c>
      <x:c r="M36" s="52" t="n">
        <x:f>IF(L36="","",ABS(L36))</x:f>
        <x:v>0.2450000000000001</x:v>
      </x:c>
      <x:c r="N36" s="53" t="n">
        <x:f>IF(M36="","",M36/C36*100)</x:f>
        <x:v>4.138513513513516</x:v>
      </x:c>
      <x:c r="O36" s="17" t="str">
        <x:v>Predicted</x:v>
      </x:c>
    </x:row>
    <x:row r="37" ht="15" hidden="0" customHeight="1">
      <x:c r="A37" s="17" t="str">
        <x:v>Nitschke et al. 2026</x:v>
      </x:c>
      <x:c r="B37" s="17" t="str">
        <x:v>Atherinosoma microstoma</x:v>
      </x:c>
      <x:c r="C37" s="52" t="n">
        <x:v>5.32</x:v>
      </x:c>
      <x:c r="D37" s="17" t="str">
        <x:v>Atherinosoma</x:v>
      </x:c>
      <x:c r="E37" s="17" t="str">
        <x:v>Atherinidae</x:v>
      </x:c>
      <x:c r="F37" s="17" t="str">
        <x:v>Small pelagic forage fishes</x:v>
      </x:c>
      <x:c r="G37" s="17" t="str">
        <x:v>Teleostei</x:v>
      </x:c>
      <x:c r="H37" s="17" t="n">
        <x:v>1</x:v>
      </x:c>
      <x:c r="I37" s="17" t="str">
        <x:v>No</x:v>
      </x:c>
      <x:c r="J37" s="17" t="str">
        <x:v>Family</x:v>
      </x:c>
      <x:c r="K37" s="52" t="n">
        <x:v>4.23</x:v>
      </x:c>
      <x:c r="L37" s="52" t="n">
        <x:f>IF(K37="","",K37-C37)</x:f>
        <x:v>-1.0899999999999999</x:v>
      </x:c>
      <x:c r="M37" s="52" t="n">
        <x:f>IF(L37="","",ABS(L37))</x:f>
        <x:v>1.0899999999999999</x:v>
      </x:c>
      <x:c r="N37" s="53" t="n">
        <x:f>IF(M37="","",M37/C37*100)</x:f>
        <x:v>20.488721804511275</x:v>
      </x:c>
      <x:c r="O37" s="17" t="str">
        <x:v>Predicted</x:v>
      </x:c>
    </x:row>
    <x:row r="38" ht="15" hidden="0" customHeight="1">
      <x:c r="A38" s="17" t="str">
        <x:v>Nitschke et al. 2026</x:v>
      </x:c>
      <x:c r="B38" s="17" t="str">
        <x:v>Australonereis ehlersi</x:v>
      </x:c>
      <x:c r="C38" s="52" t="n">
        <x:v>1.28</x:v>
      </x:c>
      <x:c r="D38" s="17" t="str">
        <x:v>Australonereis</x:v>
      </x:c>
      <x:c r="E38" s="17" t="str">
        <x:v>Nereididae</x:v>
      </x:c>
      <x:c r="F38" s="17" t="str">
        <x:v>Other benthic polychaetes</x:v>
      </x:c>
      <x:c r="G38" s="17" t="str">
        <x:v>Annelida</x:v>
      </x:c>
      <x:c r="H38" s="17" t="n">
        <x:v>1</x:v>
      </x:c>
      <x:c r="I38" s="17" t="str">
        <x:v>No</x:v>
      </x:c>
      <x:c r="J38" s="17" t="str">
        <x:v>Ecological proxy</x:v>
      </x:c>
      <x:c r="K38" s="52" t="n">
        <x:v>3.06</x:v>
      </x:c>
      <x:c r="L38" s="52" t="n">
        <x:f>IF(K38="","",K38-C38)</x:f>
        <x:v>1.78</x:v>
      </x:c>
      <x:c r="M38" s="52" t="n">
        <x:f>IF(L38="","",ABS(L38))</x:f>
        <x:v>1.78</x:v>
      </x:c>
      <x:c r="N38" s="53" t="n">
        <x:f>IF(M38="","",M38/C38*100)</x:f>
        <x:v>139.0625</x:v>
      </x:c>
      <x:c r="O38" s="17" t="str">
        <x:v>Predicted</x:v>
      </x:c>
    </x:row>
    <x:row r="39" ht="15" hidden="0" customHeight="1">
      <x:c r="A39" s="17" t="str">
        <x:v>Nitschke et al. 2026</x:v>
      </x:c>
      <x:c r="B39" s="17" t="str">
        <x:v>Ficopomatus enigmaticus</x:v>
      </x:c>
      <x:c r="C39" s="52" t="n">
        <x:v>1.45</x:v>
      </x:c>
      <x:c r="D39" s="17" t="str">
        <x:v>Ficopomatus</x:v>
      </x:c>
      <x:c r="E39" s="17" t="str">
        <x:v>Serpulidae</x:v>
      </x:c>
      <x:c r="F39" s="17" t="str">
        <x:v>Tube-dwelling polychaetes</x:v>
      </x:c>
      <x:c r="G39" s="17" t="str">
        <x:v>Annelida</x:v>
      </x:c>
      <x:c r="H39" s="17" t="n">
        <x:v>1</x:v>
      </x:c>
      <x:c r="I39" s="17" t="str">
        <x:v>No</x:v>
      </x:c>
      <x:c r="J39" s="17" t="str">
        <x:v>Broad</x:v>
      </x:c>
      <x:c r="K39" s="52" t="n">
        <x:v>2.7249999999999996</x:v>
      </x:c>
      <x:c r="L39" s="52" t="n">
        <x:f>IF(K39="","",K39-C39)</x:f>
        <x:v>1.2749999999999997</x:v>
      </x:c>
      <x:c r="M39" s="52" t="n">
        <x:f>IF(L39="","",ABS(L39))</x:f>
        <x:v>1.2749999999999997</x:v>
      </x:c>
      <x:c r="N39" s="53" t="n">
        <x:f>IF(M39="","",M39/C39*100)</x:f>
        <x:v>87.93103448275859</x:v>
      </x:c>
      <x:c r="O39" s="17" t="str">
        <x:v>Predicted</x:v>
      </x:c>
    </x:row>
    <x:row r="40" ht="15" hidden="0" customHeight="1">
      <x:c r="A40" s="17" t="str">
        <x:v>Nitschke et al. 2026</x:v>
      </x:c>
      <x:c r="B40" s="17" t="str">
        <x:v>Hiatula alba</x:v>
      </x:c>
      <x:c r="C40" s="52" t="n">
        <x:v>1.76</x:v>
      </x:c>
      <x:c r="D40" s="17" t="str">
        <x:v>Hiatula</x:v>
      </x:c>
      <x:c r="E40" s="17" t="str"/>
      <x:c r="F40" s="17" t="str">
        <x:v>Subtidal benthic molluscs</x:v>
      </x:c>
      <x:c r="G40" s="17" t="str">
        <x:v>Mollusca (non-cephalopods)</x:v>
      </x:c>
      <x:c r="H40" s="17" t="n">
        <x:v>1</x:v>
      </x:c>
      <x:c r="I40" s="17" t="str">
        <x:v>No</x:v>
      </x:c>
      <x:c r="J40" s="17" t="str">
        <x:v>Broad</x:v>
      </x:c>
      <x:c r="K40" s="52" t="n">
        <x:v>2.13</x:v>
      </x:c>
      <x:c r="L40" s="52" t="n">
        <x:f>IF(K40="","",K40-C40)</x:f>
        <x:v>0.3699999999999999</x:v>
      </x:c>
      <x:c r="M40" s="52" t="n">
        <x:f>IF(L40="","",ABS(L40))</x:f>
        <x:v>0.3699999999999999</x:v>
      </x:c>
      <x:c r="N40" s="53" t="n">
        <x:f>IF(M40="","",M40/C40*100)</x:f>
        <x:v>21.022727272727266</x:v>
      </x:c>
      <x:c r="O40" s="17" t="str">
        <x:v>Predicted</x:v>
      </x:c>
    </x:row>
    <x:row r="41" ht="15" hidden="0" customHeight="1">
      <x:c r="A41" s="17" t="str">
        <x:v>Nitschke et al. 2026</x:v>
      </x:c>
      <x:c r="B41" s="17" t="str">
        <x:v>Hyperlophus vittatus</x:v>
      </x:c>
      <x:c r="C41" s="52" t="n">
        <x:v>4.64</x:v>
      </x:c>
      <x:c r="D41" s="17" t="str">
        <x:v>Hyperlophus</x:v>
      </x:c>
      <x:c r="E41" s="17" t="str">
        <x:v>Clupeidae</x:v>
      </x:c>
      <x:c r="F41" s="17" t="str">
        <x:v>Small pelagic forage fishes</x:v>
      </x:c>
      <x:c r="G41" s="17" t="str">
        <x:v>Teleostei</x:v>
      </x:c>
      <x:c r="H41" s="17" t="n">
        <x:v>1</x:v>
      </x:c>
      <x:c r="I41" s="17" t="str">
        <x:v>Yes</x:v>
      </x:c>
      <x:c r="J41" s="17" t="str">
        <x:v>Exact taxon</x:v>
      </x:c>
      <x:c r="K41" s="52" t="n">
        <x:v>4.24</x:v>
      </x:c>
      <x:c r="L41" s="52" t="n">
        <x:f>IF(K41="","",K41-C41)</x:f>
        <x:v>-0.39999999999999947</x:v>
      </x:c>
      <x:c r="M41" s="52" t="n">
        <x:f>IF(L41="","",ABS(L41))</x:f>
        <x:v>0.39999999999999947</x:v>
      </x:c>
      <x:c r="N41" s="53" t="n">
        <x:f>IF(M41="","",M41/C41*100)</x:f>
        <x:v>8.620689655172404</x:v>
      </x:c>
      <x:c r="O41" s="17" t="str">
        <x:v>Predicted</x:v>
      </x:c>
    </x:row>
    <x:row r="42" ht="15" hidden="0" customHeight="1">
      <x:c r="A42" s="17" t="str">
        <x:v>Nitschke et al. 2026</x:v>
      </x:c>
      <x:c r="B42" s="17" t="str">
        <x:v>Hyporhamphus regularis</x:v>
      </x:c>
      <x:c r="C42" s="52" t="n">
        <x:v>5.85</x:v>
      </x:c>
      <x:c r="D42" s="17" t="str">
        <x:v>Hyporhamphus</x:v>
      </x:c>
      <x:c r="E42" s="17" t="str">
        <x:v>Hemiramphidae</x:v>
      </x:c>
      <x:c r="F42" s="17" t="str">
        <x:v>Coastal surface-dwelling fishes</x:v>
      </x:c>
      <x:c r="G42" s="17" t="str">
        <x:v>Teleostei</x:v>
      </x:c>
      <x:c r="H42" s="17" t="n">
        <x:v>1</x:v>
      </x:c>
      <x:c r="I42" s="17" t="str">
        <x:v>Yes</x:v>
      </x:c>
      <x:c r="J42" s="17" t="str">
        <x:v>Exact taxon</x:v>
      </x:c>
      <x:c r="K42" s="52" t="n">
        <x:v>5.81</x:v>
      </x:c>
      <x:c r="L42" s="52" t="n">
        <x:f>IF(K42="","",K42-C42)</x:f>
        <x:v>-0.040000000000000036</x:v>
      </x:c>
      <x:c r="M42" s="52" t="n">
        <x:f>IF(L42="","",ABS(L42))</x:f>
        <x:v>0.040000000000000036</x:v>
      </x:c>
      <x:c r="N42" s="53" t="n">
        <x:f>IF(M42="","",M42/C42*100)</x:f>
        <x:v>0.6837606837606843</x:v>
      </x:c>
      <x:c r="O42" s="17" t="str">
        <x:v>Predicted</x:v>
      </x:c>
    </x:row>
    <x:row r="43" ht="15" hidden="0" customHeight="1">
      <x:c r="A43" s="17" t="str">
        <x:v>Nitschke et al. 2026</x:v>
      </x:c>
      <x:c r="B43" s="17" t="str">
        <x:v>Paragrapsus gaimardii</x:v>
      </x:c>
      <x:c r="C43" s="52" t="n">
        <x:v>3.64</x:v>
      </x:c>
      <x:c r="D43" s="17" t="str">
        <x:v>Paragrapsus</x:v>
      </x:c>
      <x:c r="E43" s="17" t="str">
        <x:v>Varunidae</x:v>
      </x:c>
      <x:c r="F43" s="17" t="str">
        <x:v>Benthic decapods</x:v>
      </x:c>
      <x:c r="G43" s="17" t="str">
        <x:v>Crustacea</x:v>
      </x:c>
      <x:c r="H43" s="17" t="n">
        <x:v>1</x:v>
      </x:c>
      <x:c r="I43" s="17" t="str">
        <x:v>No</x:v>
      </x:c>
      <x:c r="J43" s="17" t="str">
        <x:v>Ecological proxy</x:v>
      </x:c>
      <x:c r="K43" s="52" t="n">
        <x:v>2.63</x:v>
      </x:c>
      <x:c r="L43" s="52" t="n">
        <x:f>IF(K43="","",K43-C43)</x:f>
        <x:v>-1.0100000000000002</x:v>
      </x:c>
      <x:c r="M43" s="52" t="n">
        <x:f>IF(L43="","",ABS(L43))</x:f>
        <x:v>1.0100000000000002</x:v>
      </x:c>
      <x:c r="N43" s="53" t="n">
        <x:f>IF(M43="","",M43/C43*100)</x:f>
        <x:v>27.747252747252755</x:v>
      </x:c>
      <x:c r="O43" s="17" t="str">
        <x:v>Predicted</x:v>
      </x:c>
    </x:row>
    <x:row r="44" ht="15" hidden="0" customHeight="1">
      <x:c r="A44" s="17" t="str">
        <x:v>Nitschke et al. 2026</x:v>
      </x:c>
      <x:c r="B44" s="17" t="str">
        <x:v>Phyllodoce novaehollandiae</x:v>
      </x:c>
      <x:c r="C44" s="52" t="n">
        <x:v>0.96</x:v>
      </x:c>
      <x:c r="D44" s="17" t="str">
        <x:v>Phyllodoce</x:v>
      </x:c>
      <x:c r="E44" s="17" t="str">
        <x:v>Phyllodocidae</x:v>
      </x:c>
      <x:c r="F44" s="17" t="str">
        <x:v>Other benthic polychaetes</x:v>
      </x:c>
      <x:c r="G44" s="17" t="str">
        <x:v>Annelida</x:v>
      </x:c>
      <x:c r="H44" s="17" t="n">
        <x:v>1</x:v>
      </x:c>
      <x:c r="I44" s="17" t="str">
        <x:v>No</x:v>
      </x:c>
      <x:c r="J44" s="17" t="str">
        <x:v>Ecological proxy</x:v>
      </x:c>
      <x:c r="K44" s="52" t="n">
        <x:v>3.06</x:v>
      </x:c>
      <x:c r="L44" s="52" t="n">
        <x:f>IF(K44="","",K44-C44)</x:f>
        <x:v>2.1</x:v>
      </x:c>
      <x:c r="M44" s="52" t="n">
        <x:f>IF(L44="","",ABS(L44))</x:f>
        <x:v>2.1</x:v>
      </x:c>
      <x:c r="N44" s="53" t="n">
        <x:f>IF(M44="","",M44/C44*100)</x:f>
        <x:v>218.75</x:v>
      </x:c>
      <x:c r="O44" s="17" t="str">
        <x:v>Predicted</x:v>
      </x:c>
    </x:row>
    <x:row r="45" ht="15" hidden="0" customHeight="1">
      <x:c r="A45" s="17" t="str">
        <x:v>Nitschke et al. 2026</x:v>
      </x:c>
      <x:c r="B45" s="17" t="str">
        <x:v>Pseudaphritis urvillii</x:v>
      </x:c>
      <x:c r="C45" s="52" t="n">
        <x:v>6.35</x:v>
      </x:c>
      <x:c r="D45" s="17" t="str">
        <x:v>Pseudaphritis</x:v>
      </x:c>
      <x:c r="E45" s="17" t="str">
        <x:v>Pseudaphritidae</x:v>
      </x:c>
      <x:c r="F45" s="17" t="str">
        <x:v>Other demersal fishes</x:v>
      </x:c>
      <x:c r="G45" s="17" t="str">
        <x:v>Teleostei</x:v>
      </x:c>
      <x:c r="H45" s="17" t="n">
        <x:v>1</x:v>
      </x:c>
      <x:c r="I45" s="17" t="str">
        <x:v>No</x:v>
      </x:c>
      <x:c r="J45" s="17" t="str">
        <x:v>Ecological proxy</x:v>
      </x:c>
      <x:c r="K45" s="52" t="n">
        <x:v>4.7</x:v>
      </x:c>
      <x:c r="L45" s="52" t="n">
        <x:f>IF(K45="","",K45-C45)</x:f>
        <x:v>-1.6499999999999995</x:v>
      </x:c>
      <x:c r="M45" s="52" t="n">
        <x:f>IF(L45="","",ABS(L45))</x:f>
        <x:v>1.6499999999999995</x:v>
      </x:c>
      <x:c r="N45" s="53" t="n">
        <x:f>IF(M45="","",M45/C45*100)</x:f>
        <x:v>25.98425196850393</x:v>
      </x:c>
      <x:c r="O45" s="17" t="str">
        <x:v>Predicted</x:v>
      </x:c>
    </x:row>
    <x:row r="46" ht="15" hidden="0" customHeight="1">
      <x:c r="A46" s="17" t="str">
        <x:v>Nitschke et al. 2026</x:v>
      </x:c>
      <x:c r="B46" s="17" t="str">
        <x:v>Rhombosolea tapirina</x:v>
      </x:c>
      <x:c r="C46" s="52" t="n">
        <x:v>4.99</x:v>
      </x:c>
      <x:c r="D46" s="17" t="str">
        <x:v>Rhombosolea</x:v>
      </x:c>
      <x:c r="E46" s="17" t="str">
        <x:v>Pleuronectidae</x:v>
      </x:c>
      <x:c r="F46" s="17" t="str">
        <x:v>Demersal flatfishes</x:v>
      </x:c>
      <x:c r="G46" s="17" t="str">
        <x:v>Teleostei</x:v>
      </x:c>
      <x:c r="H46" s="17" t="n">
        <x:v>1</x:v>
      </x:c>
      <x:c r="I46" s="17" t="str">
        <x:v>No</x:v>
      </x:c>
      <x:c r="J46" s="17" t="str">
        <x:v>Family</x:v>
      </x:c>
      <x:c r="K46" s="52" t="n">
        <x:v>5.8</x:v>
      </x:c>
      <x:c r="L46" s="52" t="n">
        <x:f>IF(K46="","",K46-C46)</x:f>
        <x:v>0.8099999999999996</x:v>
      </x:c>
      <x:c r="M46" s="52" t="n">
        <x:f>IF(L46="","",ABS(L46))</x:f>
        <x:v>0.8099999999999996</x:v>
      </x:c>
      <x:c r="N46" s="53" t="n">
        <x:f>IF(M46="","",M46/C46*100)</x:f>
        <x:v>16.23246492985971</x:v>
      </x:c>
      <x:c r="O46" s="17" t="str">
        <x:v>Predicted</x:v>
      </x:c>
    </x:row>
    <x:row r="47" ht="15" hidden="0" customHeight="1">
      <x:c r="A47" s="17" t="str">
        <x:v>Nitschke et al. 2026</x:v>
      </x:c>
      <x:c r="B47" s="17" t="str">
        <x:v>Simplisetia aequisetis</x:v>
      </x:c>
      <x:c r="C47" s="52" t="n">
        <x:v>1.05</x:v>
      </x:c>
      <x:c r="D47" s="17" t="str">
        <x:v>Simplisetia</x:v>
      </x:c>
      <x:c r="E47" s="17" t="str">
        <x:v>Nereididae</x:v>
      </x:c>
      <x:c r="F47" s="17" t="str">
        <x:v>Other benthic polychaetes</x:v>
      </x:c>
      <x:c r="G47" s="17" t="str">
        <x:v>Annelida</x:v>
      </x:c>
      <x:c r="H47" s="17" t="n">
        <x:v>1</x:v>
      </x:c>
      <x:c r="I47" s="17" t="str">
        <x:v>No</x:v>
      </x:c>
      <x:c r="J47" s="17" t="str">
        <x:v>Ecological proxy</x:v>
      </x:c>
      <x:c r="K47" s="52" t="n">
        <x:v>3.06</x:v>
      </x:c>
      <x:c r="L47" s="52" t="n">
        <x:f>IF(K47="","",K47-C47)</x:f>
        <x:v>2.01</x:v>
      </x:c>
      <x:c r="M47" s="52" t="n">
        <x:f>IF(L47="","",ABS(L47))</x:f>
        <x:v>2.01</x:v>
      </x:c>
      <x:c r="N47" s="53" t="n">
        <x:f>IF(M47="","",M47/C47*100)</x:f>
        <x:v>191.4285714285714</x:v>
      </x:c>
      <x:c r="O47" s="17" t="str">
        <x:v>Predicted</x:v>
      </x:c>
    </x:row>
    <x:row r="48" ht="15" hidden="0" customHeight="1">
      <x:c r="A48" s="17" t="str">
        <x:v>Nitschke et al. 2026</x:v>
      </x:c>
      <x:c r="B48" s="17" t="str">
        <x:v>Spisula trigonella</x:v>
      </x:c>
      <x:c r="C48" s="52" t="n">
        <x:v>2.15</x:v>
      </x:c>
      <x:c r="D48" s="17" t="str">
        <x:v>Spisula</x:v>
      </x:c>
      <x:c r="E48" s="17" t="str">
        <x:v>Mactridae</x:v>
      </x:c>
      <x:c r="F48" s="17" t="str">
        <x:v>Benthic bivalves</x:v>
      </x:c>
      <x:c r="G48" s="17" t="str">
        <x:v>Mollusca (non-cephalopods)</x:v>
      </x:c>
      <x:c r="H48" s="17" t="n">
        <x:v>1</x:v>
      </x:c>
      <x:c r="I48" s="17" t="str">
        <x:v>No</x:v>
      </x:c>
      <x:c r="J48" s="17" t="str">
        <x:v>Ecological proxy</x:v>
      </x:c>
      <x:c r="K48" s="52" t="n">
        <x:v>2.13</x:v>
      </x:c>
      <x:c r="L48" s="52" t="n">
        <x:f>IF(K48="","",K48-C48)</x:f>
        <x:v>-0.020000000000000018</x:v>
      </x:c>
      <x:c r="M48" s="52" t="n">
        <x:f>IF(L48="","",ABS(L48))</x:f>
        <x:v>0.020000000000000018</x:v>
      </x:c>
      <x:c r="N48" s="53" t="n">
        <x:f>IF(M48="","",M48/C48*100)</x:f>
        <x:v>0.9302325581395358</x:v>
      </x:c>
      <x:c r="O48" s="17" t="str">
        <x:v>Predicted</x:v>
      </x:c>
    </x:row>
    <x:row r="49" ht="15" hidden="0" customHeight="1">
      <x:c r="A49" s="17" t="str">
        <x:v>Nitschke et al. 2026</x:v>
      </x:c>
      <x:c r="B49" s="17" t="str">
        <x:v>Tasmanogobius lasti</x:v>
      </x:c>
      <x:c r="C49" s="52" t="n">
        <x:v>5.64</x:v>
      </x:c>
      <x:c r="D49" s="17" t="str">
        <x:v>Tasmanogobius</x:v>
      </x:c>
      <x:c r="E49" s="17" t="str">
        <x:v>Gobiidae</x:v>
      </x:c>
      <x:c r="F49" s="17" t="str">
        <x:v>Small demersal zoobenthivorous fishes</x:v>
      </x:c>
      <x:c r="G49" s="17" t="str">
        <x:v>Teleostei</x:v>
      </x:c>
      <x:c r="H49" s="17" t="n">
        <x:v>1</x:v>
      </x:c>
      <x:c r="I49" s="17" t="str">
        <x:v>No</x:v>
      </x:c>
      <x:c r="J49" s="17" t="str">
        <x:v>Family</x:v>
      </x:c>
      <x:c r="K49" s="52" t="n">
        <x:v>4.26</x:v>
      </x:c>
      <x:c r="L49" s="52" t="n">
        <x:f>IF(K49="","",K49-C49)</x:f>
        <x:v>-1.38</x:v>
      </x:c>
      <x:c r="M49" s="52" t="n">
        <x:f>IF(L49="","",ABS(L49))</x:f>
        <x:v>1.38</x:v>
      </x:c>
      <x:c r="N49" s="53" t="n">
        <x:f>IF(M49="","",M49/C49*100)</x:f>
        <x:v>24.46808510638298</x:v>
      </x:c>
      <x:c r="O49" s="17" t="str">
        <x:v>Predicted</x:v>
      </x:c>
    </x:row>
    <x:row r="50" ht="15" hidden="0" customHeight="1">
      <x:c r="A50" s="17" t="str">
        <x:v>Price et al. 2024</x:v>
      </x:c>
      <x:c r="B50" s="17" t="str">
        <x:v>Doryteuthis opalescens</x:v>
      </x:c>
      <x:c r="C50" s="52" t="n">
        <x:v>4.85</x:v>
      </x:c>
      <x:c r="D50" s="17" t="str">
        <x:v>Doryteuthis</x:v>
      </x:c>
      <x:c r="E50" s="17" t="str">
        <x:v>Loliginidae</x:v>
      </x:c>
      <x:c r="F50" s="17" t="str">
        <x:v>Pelagic squids</x:v>
      </x:c>
      <x:c r="G50" s="17" t="str">
        <x:v>Cephalopoda</x:v>
      </x:c>
      <x:c r="H50" s="17" t="n">
        <x:v>3</x:v>
      </x:c>
      <x:c r="I50" s="17" t="str">
        <x:v>No</x:v>
      </x:c>
      <x:c r="J50" s="17" t="str">
        <x:v>Genus</x:v>
      </x:c>
      <x:c r="K50" s="52" t="n">
        <x:v>5.16</x:v>
      </x:c>
      <x:c r="L50" s="52" t="n">
        <x:f>IF(K50="","",K50-C50)</x:f>
        <x:v>0.3100000000000005</x:v>
      </x:c>
      <x:c r="M50" s="52" t="n">
        <x:f>IF(L50="","",ABS(L50))</x:f>
        <x:v>0.3100000000000005</x:v>
      </x:c>
      <x:c r="N50" s="53" t="n">
        <x:f>IF(M50="","",M50/C50*100)</x:f>
        <x:v>6.391752577319599</x:v>
      </x:c>
      <x:c r="O50" s="17" t="str">
        <x:v>Predicted</x:v>
      </x:c>
    </x:row>
    <x:row r="51" ht="15" hidden="0" customHeight="1">
      <x:c r="A51" s="17" t="str">
        <x:v>Price et al. 2024</x:v>
      </x:c>
      <x:c r="B51" s="17" t="str">
        <x:v>Engraulis mordax</x:v>
      </x:c>
      <x:c r="C51" s="52" t="n">
        <x:v>7.85</x:v>
      </x:c>
      <x:c r="D51" s="17" t="str">
        <x:v>Engraulis</x:v>
      </x:c>
      <x:c r="E51" s="17" t="str">
        <x:v>Engraulidae</x:v>
      </x:c>
      <x:c r="F51" s="17" t="str">
        <x:v>Small pelagic forage fishes</x:v>
      </x:c>
      <x:c r="G51" s="17" t="str">
        <x:v>Teleostei</x:v>
      </x:c>
      <x:c r="H51" s="17" t="n">
        <x:v>5</x:v>
      </x:c>
      <x:c r="I51" s="17" t="str">
        <x:v>No</x:v>
      </x:c>
      <x:c r="J51" s="17" t="str">
        <x:v>Genus</x:v>
      </x:c>
      <x:c r="K51" s="52" t="n">
        <x:v>5.8</x:v>
      </x:c>
      <x:c r="L51" s="52" t="n">
        <x:f>IF(K51="","",K51-C51)</x:f>
        <x:v>-2.05</x:v>
      </x:c>
      <x:c r="M51" s="52" t="n">
        <x:f>IF(L51="","",ABS(L51))</x:f>
        <x:v>2.05</x:v>
      </x:c>
      <x:c r="N51" s="53" t="n">
        <x:f>IF(M51="","",M51/C51*100)</x:f>
        <x:v>26.11464968152866</x:v>
      </x:c>
      <x:c r="O51" s="17" t="str">
        <x:v>Predicted</x:v>
      </x:c>
    </x:row>
    <x:row r="52" ht="15" hidden="0" customHeight="1">
      <x:c r="A52" s="17" t="str">
        <x:v>Price et al. 2024</x:v>
      </x:c>
      <x:c r="B52" s="17" t="str">
        <x:v>Sardinops sagax</x:v>
      </x:c>
      <x:c r="C52" s="52" t="n">
        <x:v>6.66</x:v>
      </x:c>
      <x:c r="D52" s="17" t="str">
        <x:v>Sardinops</x:v>
      </x:c>
      <x:c r="E52" s="17" t="str">
        <x:v>Clupeidae</x:v>
      </x:c>
      <x:c r="F52" s="17" t="str">
        <x:v>Small pelagic forage fishes</x:v>
      </x:c>
      <x:c r="G52" s="17" t="str">
        <x:v>Teleostei</x:v>
      </x:c>
      <x:c r="H52" s="17" t="n">
        <x:v>4</x:v>
      </x:c>
      <x:c r="I52" s="17" t="str">
        <x:v>Yes</x:v>
      </x:c>
      <x:c r="J52" s="17" t="str">
        <x:v>Exact taxon</x:v>
      </x:c>
      <x:c r="K52" s="52" t="n">
        <x:v>6.84</x:v>
      </x:c>
      <x:c r="L52" s="52" t="n">
        <x:f>IF(K52="","",K52-C52)</x:f>
        <x:v>0.17999999999999972</x:v>
      </x:c>
      <x:c r="M52" s="52" t="n">
        <x:f>IF(L52="","",ABS(L52))</x:f>
        <x:v>0.17999999999999972</x:v>
      </x:c>
      <x:c r="N52" s="53" t="n">
        <x:f>IF(M52="","",M52/C52*100)</x:f>
        <x:v>2.702702702702698</x:v>
      </x:c>
      <x:c r="O52" s="17" t="str">
        <x:v>Predicted</x:v>
      </x:c>
    </x:row>
    <x:row r="53" ht="15" hidden="0" customHeight="1">
      <x:c r="A53" s="17" t="str">
        <x:v>Spitz et al. 2010</x:v>
      </x:c>
      <x:c r="B53" s="17" t="str">
        <x:v>Acanthephyra purpurea</x:v>
      </x:c>
      <x:c r="C53" s="52" t="n">
        <x:v>5.3</x:v>
      </x:c>
      <x:c r="D53" s="17" t="str">
        <x:v>Acanthephyra</x:v>
      </x:c>
      <x:c r="E53" s="17" t="str">
        <x:v>Oplophoridae</x:v>
      </x:c>
      <x:c r="F53" s="17" t="str">
        <x:v>Decapods (ecology unspecified)</x:v>
      </x:c>
      <x:c r="G53" s="17" t="str">
        <x:v>Crustacea</x:v>
      </x:c>
      <x:c r="H53" s="17" t="n">
        <x:v>1</x:v>
      </x:c>
      <x:c r="I53" s="17" t="str">
        <x:v>No</x:v>
      </x:c>
      <x:c r="J53" s="17" t="str">
        <x:v>Ecological proxy</x:v>
      </x:c>
      <x:c r="K53" s="52" t="n">
        <x:v>3.84</x:v>
      </x:c>
      <x:c r="L53" s="52" t="n">
        <x:f>IF(K53="","",K53-C53)</x:f>
        <x:v>-1.46</x:v>
      </x:c>
      <x:c r="M53" s="52" t="n">
        <x:f>IF(L53="","",ABS(L53))</x:f>
        <x:v>1.46</x:v>
      </x:c>
      <x:c r="N53" s="53" t="n">
        <x:f>IF(M53="","",M53/C53*100)</x:f>
        <x:v>27.547169811320753</x:v>
      </x:c>
      <x:c r="O53" s="17" t="str">
        <x:v>Predicted</x:v>
      </x:c>
    </x:row>
    <x:row r="54" ht="15" hidden="0" customHeight="1">
      <x:c r="A54" s="17" t="str">
        <x:v>Spitz et al. 2010</x:v>
      </x:c>
      <x:c r="B54" s="17" t="str">
        <x:v>Ammodytes tobianus</x:v>
      </x:c>
      <x:c r="C54" s="52" t="n">
        <x:v>5.8</x:v>
      </x:c>
      <x:c r="D54" s="17" t="str">
        <x:v>Ammodytes</x:v>
      </x:c>
      <x:c r="E54" s="17" t="str">
        <x:v>Ammodytidae</x:v>
      </x:c>
      <x:c r="F54" s="17" t="str">
        <x:v>Small pelagic forage fishes</x:v>
      </x:c>
      <x:c r="G54" s="17" t="str">
        <x:v>Teleostei</x:v>
      </x:c>
      <x:c r="H54" s="17" t="n">
        <x:v>1</x:v>
      </x:c>
      <x:c r="I54" s="17" t="str">
        <x:v>No</x:v>
      </x:c>
      <x:c r="J54" s="17" t="str">
        <x:v>Genus</x:v>
      </x:c>
      <x:c r="K54" s="52" t="n">
        <x:v>5.475</x:v>
      </x:c>
      <x:c r="L54" s="52" t="n">
        <x:f>IF(K54="","",K54-C54)</x:f>
        <x:v>-0.3250000000000002</x:v>
      </x:c>
      <x:c r="M54" s="52" t="n">
        <x:f>IF(L54="","",ABS(L54))</x:f>
        <x:v>0.3250000000000002</x:v>
      </x:c>
      <x:c r="N54" s="53" t="n">
        <x:f>IF(M54="","",M54/C54*100)</x:f>
        <x:v>5.603448275862073</x:v>
      </x:c>
      <x:c r="O54" s="17" t="str">
        <x:v>Predicted</x:v>
      </x:c>
    </x:row>
    <x:row r="55" ht="15" hidden="0" customHeight="1">
      <x:c r="A55" s="17" t="str">
        <x:v>Spitz et al. 2010</x:v>
      </x:c>
      <x:c r="B55" s="17" t="str">
        <x:v>Arctozenus risso</x:v>
      </x:c>
      <x:c r="C55" s="52" t="n">
        <x:v>4.3</x:v>
      </x:c>
      <x:c r="D55" s="17" t="str">
        <x:v>Arctozenus</x:v>
      </x:c>
      <x:c r="E55" s="17" t="str">
        <x:v>Paralepididae</x:v>
      </x:c>
      <x:c r="F55" s="17" t="str">
        <x:v>Unclassified teleosts</x:v>
      </x:c>
      <x:c r="G55" s="17" t="str">
        <x:v>Teleostei</x:v>
      </x:c>
      <x:c r="H55" s="17" t="n">
        <x:v>1</x:v>
      </x:c>
      <x:c r="I55" s="17" t="str">
        <x:v>No</x:v>
      </x:c>
      <x:c r="J55" s="17" t="str">
        <x:v>Ecological proxy</x:v>
      </x:c>
      <x:c r="K55" s="52" t="n">
        <x:v>4.92</x:v>
      </x:c>
      <x:c r="L55" s="52" t="n">
        <x:f>IF(K55="","",K55-C55)</x:f>
        <x:v>0.6200000000000001</x:v>
      </x:c>
      <x:c r="M55" s="52" t="n">
        <x:f>IF(L55="","",ABS(L55))</x:f>
        <x:v>0.6200000000000001</x:v>
      </x:c>
      <x:c r="N55" s="53" t="n">
        <x:f>IF(M55="","",M55/C55*100)</x:f>
        <x:v>14.418604651162795</x:v>
      </x:c>
      <x:c r="O55" s="17" t="str">
        <x:v>Predicted</x:v>
      </x:c>
    </x:row>
    <x:row r="56" ht="15" hidden="0" customHeight="1">
      <x:c r="A56" s="17" t="str">
        <x:v>Spitz et al. 2010</x:v>
      </x:c>
      <x:c r="B56" s="17" t="str">
        <x:v>Argentina sphyraena</x:v>
      </x:c>
      <x:c r="C56" s="52" t="n">
        <x:v>6.1</x:v>
      </x:c>
      <x:c r="D56" s="17" t="str">
        <x:v>Argentina</x:v>
      </x:c>
      <x:c r="E56" s="17" t="str">
        <x:v>Argentinidae</x:v>
      </x:c>
      <x:c r="F56" s="17" t="str">
        <x:v>Unclassified teleosts</x:v>
      </x:c>
      <x:c r="G56" s="17" t="str">
        <x:v>Teleostei</x:v>
      </x:c>
      <x:c r="H56" s="17" t="n">
        <x:v>1</x:v>
      </x:c>
      <x:c r="I56" s="17" t="str">
        <x:v>No</x:v>
      </x:c>
      <x:c r="J56" s="17" t="str">
        <x:v>Ecological proxy</x:v>
      </x:c>
      <x:c r="K56" s="52" t="n">
        <x:v>4.92</x:v>
      </x:c>
      <x:c r="L56" s="52" t="n">
        <x:f>IF(K56="","",K56-C56)</x:f>
        <x:v>-1.1799999999999997</x:v>
      </x:c>
      <x:c r="M56" s="52" t="n">
        <x:f>IF(L56="","",ABS(L56))</x:f>
        <x:v>1.1799999999999997</x:v>
      </x:c>
      <x:c r="N56" s="53" t="n">
        <x:f>IF(M56="","",M56/C56*100)</x:f>
        <x:v>19.34426229508196</x:v>
      </x:c>
      <x:c r="O56" s="17" t="str">
        <x:v>Predicted</x:v>
      </x:c>
    </x:row>
    <x:row r="57" ht="15" hidden="0" customHeight="1">
      <x:c r="A57" s="17" t="str">
        <x:v>Spitz et al. 2010</x:v>
      </x:c>
      <x:c r="B57" s="17" t="str">
        <x:v>Argyropelecus olfersii</x:v>
      </x:c>
      <x:c r="C57" s="52" t="n">
        <x:v>3.5</x:v>
      </x:c>
      <x:c r="D57" s="17" t="str">
        <x:v>Argyropelecus</x:v>
      </x:c>
      <x:c r="E57" s="17" t="str">
        <x:v>Sternoptychidae</x:v>
      </x:c>
      <x:c r="F57" s="17" t="str">
        <x:v>Mesopelagic forage fishes</x:v>
      </x:c>
      <x:c r="G57" s="17" t="str">
        <x:v>Teleostei</x:v>
      </x:c>
      <x:c r="H57" s="17" t="n">
        <x:v>1</x:v>
      </x:c>
      <x:c r="I57" s="17" t="str">
        <x:v>No</x:v>
      </x:c>
      <x:c r="J57" s="17" t="str">
        <x:v>Broad</x:v>
      </x:c>
      <x:c r="K57" s="52" t="n">
        <x:v>5.74</x:v>
      </x:c>
      <x:c r="L57" s="52" t="n">
        <x:f>IF(K57="","",K57-C57)</x:f>
        <x:v>2.24</x:v>
      </x:c>
      <x:c r="M57" s="52" t="n">
        <x:f>IF(L57="","",ABS(L57))</x:f>
        <x:v>2.24</x:v>
      </x:c>
      <x:c r="N57" s="53" t="n">
        <x:f>IF(M57="","",M57/C57*100)</x:f>
        <x:v>64</x:v>
      </x:c>
      <x:c r="O57" s="17" t="str">
        <x:v>Predicted</x:v>
      </x:c>
    </x:row>
    <x:row r="58" ht="15" hidden="0" customHeight="1">
      <x:c r="A58" s="17" t="str">
        <x:v>Spitz et al. 2010</x:v>
      </x:c>
      <x:c r="B58" s="17" t="str">
        <x:v>Arnoglossus imperialis</x:v>
      </x:c>
      <x:c r="C58" s="52" t="n">
        <x:v>5.4</x:v>
      </x:c>
      <x:c r="D58" s="17" t="str">
        <x:v>Arnoglossus</x:v>
      </x:c>
      <x:c r="E58" s="17" t="str">
        <x:v>Bothidae</x:v>
      </x:c>
      <x:c r="F58" s="17" t="str">
        <x:v>Demersal flatfishes</x:v>
      </x:c>
      <x:c r="G58" s="17" t="str">
        <x:v>Teleostei</x:v>
      </x:c>
      <x:c r="H58" s="17" t="n">
        <x:v>1</x:v>
      </x:c>
      <x:c r="I58" s="17" t="str">
        <x:v>No</x:v>
      </x:c>
      <x:c r="J58" s="17" t="str">
        <x:v>Ecological proxy</x:v>
      </x:c>
      <x:c r="K58" s="52" t="n">
        <x:v>4.98</x:v>
      </x:c>
      <x:c r="L58" s="52" t="n">
        <x:f>IF(K58="","",K58-C58)</x:f>
        <x:v>-0.41999999999999993</x:v>
      </x:c>
      <x:c r="M58" s="52" t="n">
        <x:f>IF(L58="","",ABS(L58))</x:f>
        <x:v>0.41999999999999993</x:v>
      </x:c>
      <x:c r="N58" s="53" t="n">
        <x:f>IF(M58="","",M58/C58*100)</x:f>
        <x:v>7.777777777777777</x:v>
      </x:c>
      <x:c r="O58" s="17" t="str">
        <x:v>Predicted</x:v>
      </x:c>
    </x:row>
    <x:row r="59" ht="15" hidden="0" customHeight="1">
      <x:c r="A59" s="17" t="str">
        <x:v>Spitz et al. 2010</x:v>
      </x:c>
      <x:c r="B59" s="17" t="str">
        <x:v>Atherina presbyter</x:v>
      </x:c>
      <x:c r="C59" s="52" t="n">
        <x:v>7.3</x:v>
      </x:c>
      <x:c r="D59" s="17" t="str">
        <x:v>Atherina</x:v>
      </x:c>
      <x:c r="E59" s="17" t="str">
        <x:v>Atherinidae</x:v>
      </x:c>
      <x:c r="F59" s="17" t="str">
        <x:v>Small pelagic forage fishes</x:v>
      </x:c>
      <x:c r="G59" s="17" t="str">
        <x:v>Teleostei</x:v>
      </x:c>
      <x:c r="H59" s="17" t="n">
        <x:v>1</x:v>
      </x:c>
      <x:c r="I59" s="17" t="str">
        <x:v>No</x:v>
      </x:c>
      <x:c r="J59" s="17" t="str">
        <x:v>Family</x:v>
      </x:c>
      <x:c r="K59" s="52" t="n">
        <x:v>4.23</x:v>
      </x:c>
      <x:c r="L59" s="52" t="n">
        <x:f>IF(K59="","",K59-C59)</x:f>
        <x:v>-3.0699999999999994</x:v>
      </x:c>
      <x:c r="M59" s="52" t="n">
        <x:f>IF(L59="","",ABS(L59))</x:f>
        <x:v>3.0699999999999994</x:v>
      </x:c>
      <x:c r="N59" s="53" t="n">
        <x:f>IF(M59="","",M59/C59*100)</x:f>
        <x:v>42.05479452054794</x:v>
      </x:c>
      <x:c r="O59" s="17" t="str">
        <x:v>Predicted</x:v>
      </x:c>
    </x:row>
    <x:row r="60" ht="15" hidden="0" customHeight="1">
      <x:c r="A60" s="17" t="str">
        <x:v>Spitz et al. 2010</x:v>
      </x:c>
      <x:c r="B60" s="17" t="str">
        <x:v>Aurelia aurita</x:v>
      </x:c>
      <x:c r="C60" s="52" t="n">
        <x:v>0.7</x:v>
      </x:c>
      <x:c r="D60" s="17" t="str">
        <x:v>Aurelia</x:v>
      </x:c>
      <x:c r="E60" s="17" t="str">
        <x:v>Ulmaridae</x:v>
      </x:c>
      <x:c r="F60" s="17" t="str">
        <x:v>Gelatinous zooplankton - cnidarians</x:v>
      </x:c>
      <x:c r="G60" s="17" t="str">
        <x:v>Cnidaria</x:v>
      </x:c>
      <x:c r="H60" s="17" t="n">
        <x:v>1</x:v>
      </x:c>
      <x:c r="I60" s="17" t="str">
        <x:v>No</x:v>
      </x:c>
      <x:c r="J60" s="17" t="str">
        <x:v>No fallback</x:v>
      </x:c>
      <x:c r="K60" s="52"/>
      <x:c r="L60" s="52" t="str">
        <x:f>IF(K60="","",K60-C60)</x:f>
      </x:c>
      <x:c r="M60" s="52" t="str">
        <x:f>IF(L60="","",ABS(L60))</x:f>
      </x:c>
      <x:c r="N60" s="53" t="str">
        <x:f>IF(M60="","",M60/C60*100)</x:f>
      </x:c>
      <x:c r="O60" s="17" t="str">
        <x:v>No prediction</x:v>
      </x:c>
    </x:row>
    <x:row r="61" ht="15" hidden="0" customHeight="1">
      <x:c r="A61" s="17" t="str">
        <x:v>Spitz et al. 2010</x:v>
      </x:c>
      <x:c r="B61" s="17" t="str">
        <x:v>Belone belone</x:v>
      </x:c>
      <x:c r="C61" s="52" t="n">
        <x:v>6.2</x:v>
      </x:c>
      <x:c r="D61" s="17" t="str">
        <x:v>Belone</x:v>
      </x:c>
      <x:c r="E61" s="17" t="str">
        <x:v>Belonidae</x:v>
      </x:c>
      <x:c r="F61" s="17" t="str">
        <x:v>Unclassified teleosts</x:v>
      </x:c>
      <x:c r="G61" s="17" t="str">
        <x:v>Teleostei</x:v>
      </x:c>
      <x:c r="H61" s="17" t="n">
        <x:v>1</x:v>
      </x:c>
      <x:c r="I61" s="17" t="str">
        <x:v>No</x:v>
      </x:c>
      <x:c r="J61" s="17" t="str">
        <x:v>Ecological proxy</x:v>
      </x:c>
      <x:c r="K61" s="52" t="n">
        <x:v>4.92</x:v>
      </x:c>
      <x:c r="L61" s="52" t="n">
        <x:f>IF(K61="","",K61-C61)</x:f>
        <x:v>-1.2800000000000002</x:v>
      </x:c>
      <x:c r="M61" s="52" t="n">
        <x:f>IF(L61="","",ABS(L61))</x:f>
        <x:v>1.2800000000000002</x:v>
      </x:c>
      <x:c r="N61" s="53" t="n">
        <x:f>IF(M61="","",M61/C61*100)</x:f>
        <x:v>20.645161290322584</x:v>
      </x:c>
      <x:c r="O61" s="17" t="str">
        <x:v>Predicted</x:v>
      </x:c>
    </x:row>
    <x:row r="62" ht="15" hidden="0" customHeight="1">
      <x:c r="A62" s="17" t="str">
        <x:v>Spitz et al. 2010</x:v>
      </x:c>
      <x:c r="B62" s="17" t="str">
        <x:v>Benthosema glaciale</x:v>
      </x:c>
      <x:c r="C62" s="52" t="n">
        <x:v>5.9</x:v>
      </x:c>
      <x:c r="D62" s="17" t="str">
        <x:v>Benthosema</x:v>
      </x:c>
      <x:c r="E62" s="17" t="str">
        <x:v>Myctophidae</x:v>
      </x:c>
      <x:c r="F62" s="17" t="str">
        <x:v>Mesopelagic forage fishes</x:v>
      </x:c>
      <x:c r="G62" s="17" t="str">
        <x:v>Teleostei</x:v>
      </x:c>
      <x:c r="H62" s="17" t="n">
        <x:v>1</x:v>
      </x:c>
      <x:c r="I62" s="17" t="str">
        <x:v>No</x:v>
      </x:c>
      <x:c r="J62" s="17" t="str">
        <x:v>Family</x:v>
      </x:c>
      <x:c r="K62" s="52" t="n">
        <x:v>7</x:v>
      </x:c>
      <x:c r="L62" s="52" t="n">
        <x:f>IF(K62="","",K62-C62)</x:f>
        <x:v>1.0999999999999996</x:v>
      </x:c>
      <x:c r="M62" s="52" t="n">
        <x:f>IF(L62="","",ABS(L62))</x:f>
        <x:v>1.0999999999999996</x:v>
      </x:c>
      <x:c r="N62" s="53" t="n">
        <x:f>IF(M62="","",M62/C62*100)</x:f>
        <x:v>18.644067796610162</x:v>
      </x:c>
      <x:c r="O62" s="17" t="str">
        <x:v>Predicted</x:v>
      </x:c>
    </x:row>
    <x:row r="63" ht="15" hidden="0" customHeight="1">
      <x:c r="A63" s="17" t="str">
        <x:v>Spitz et al. 2010</x:v>
      </x:c>
      <x:c r="B63" s="17" t="str">
        <x:v>Boops boops</x:v>
      </x:c>
      <x:c r="C63" s="52" t="n">
        <x:v>8</x:v>
      </x:c>
      <x:c r="D63" s="17" t="str">
        <x:v>Boops</x:v>
      </x:c>
      <x:c r="E63" s="17" t="str">
        <x:v>Sparidae</x:v>
      </x:c>
      <x:c r="F63" s="17" t="str">
        <x:v>Unclassified teleosts</x:v>
      </x:c>
      <x:c r="G63" s="17" t="str">
        <x:v>Teleostei</x:v>
      </x:c>
      <x:c r="H63" s="17" t="n">
        <x:v>1</x:v>
      </x:c>
      <x:c r="I63" s="17" t="str">
        <x:v>No</x:v>
      </x:c>
      <x:c r="J63" s="17" t="str">
        <x:v>Family</x:v>
      </x:c>
      <x:c r="K63" s="52" t="n">
        <x:v>5.859999999999999</x:v>
      </x:c>
      <x:c r="L63" s="52" t="n">
        <x:f>IF(K63="","",K63-C63)</x:f>
        <x:v>-2.1400000000000006</x:v>
      </x:c>
      <x:c r="M63" s="52" t="n">
        <x:f>IF(L63="","",ABS(L63))</x:f>
        <x:v>2.1400000000000006</x:v>
      </x:c>
      <x:c r="N63" s="53" t="n">
        <x:f>IF(M63="","",M63/C63*100)</x:f>
        <x:v>26.750000000000007</x:v>
      </x:c>
      <x:c r="O63" s="17" t="str">
        <x:v>Predicted</x:v>
      </x:c>
    </x:row>
    <x:row r="64" ht="15" hidden="0" customHeight="1">
      <x:c r="A64" s="17" t="str">
        <x:v>Spitz et al. 2010</x:v>
      </x:c>
      <x:c r="B64" s="17" t="str">
        <x:v>Callionymus lyra</x:v>
      </x:c>
      <x:c r="C64" s="52" t="n">
        <x:v>5.2</x:v>
      </x:c>
      <x:c r="D64" s="17" t="str">
        <x:v>Callionymus</x:v>
      </x:c>
      <x:c r="E64" s="17" t="str">
        <x:v>Callionymidae</x:v>
      </x:c>
      <x:c r="F64" s="17" t="str">
        <x:v>Unclassified teleosts</x:v>
      </x:c>
      <x:c r="G64" s="17" t="str">
        <x:v>Teleostei</x:v>
      </x:c>
      <x:c r="H64" s="17" t="n">
        <x:v>1</x:v>
      </x:c>
      <x:c r="I64" s="17" t="str">
        <x:v>No</x:v>
      </x:c>
      <x:c r="J64" s="17" t="str">
        <x:v>Ecological proxy</x:v>
      </x:c>
      <x:c r="K64" s="52" t="n">
        <x:v>4.92</x:v>
      </x:c>
      <x:c r="L64" s="52" t="n">
        <x:f>IF(K64="","",K64-C64)</x:f>
        <x:v>-0.28000000000000025</x:v>
      </x:c>
      <x:c r="M64" s="52" t="n">
        <x:f>IF(L64="","",ABS(L64))</x:f>
        <x:v>0.28000000000000025</x:v>
      </x:c>
      <x:c r="N64" s="53" t="n">
        <x:f>IF(M64="","",M64/C64*100)</x:f>
        <x:v>5.3846153846153895</x:v>
      </x:c>
      <x:c r="O64" s="17" t="str">
        <x:v>Predicted</x:v>
      </x:c>
    </x:row>
    <x:row r="65" ht="15" hidden="0" customHeight="1">
      <x:c r="A65" s="17" t="str">
        <x:v>Spitz et al. 2010</x:v>
      </x:c>
      <x:c r="B65" s="17" t="str">
        <x:v>Capros aper</x:v>
      </x:c>
      <x:c r="C65" s="52" t="n">
        <x:v>6.2</x:v>
      </x:c>
      <x:c r="D65" s="17" t="str">
        <x:v>Capros</x:v>
      </x:c>
      <x:c r="E65" s="17" t="str">
        <x:v>Caproidae</x:v>
      </x:c>
      <x:c r="F65" s="17" t="str">
        <x:v>Unclassified teleosts</x:v>
      </x:c>
      <x:c r="G65" s="17" t="str">
        <x:v>Teleostei</x:v>
      </x:c>
      <x:c r="H65" s="17" t="n">
        <x:v>1</x:v>
      </x:c>
      <x:c r="I65" s="17" t="str">
        <x:v>No</x:v>
      </x:c>
      <x:c r="J65" s="17" t="str">
        <x:v>Ecological proxy</x:v>
      </x:c>
      <x:c r="K65" s="52" t="n">
        <x:v>4.92</x:v>
      </x:c>
      <x:c r="L65" s="52" t="n">
        <x:f>IF(K65="","",K65-C65)</x:f>
        <x:v>-1.2800000000000002</x:v>
      </x:c>
      <x:c r="M65" s="52" t="n">
        <x:f>IF(L65="","",ABS(L65))</x:f>
        <x:v>1.2800000000000002</x:v>
      </x:c>
      <x:c r="N65" s="53" t="n">
        <x:f>IF(M65="","",M65/C65*100)</x:f>
        <x:v>20.645161290322584</x:v>
      </x:c>
      <x:c r="O65" s="17" t="str">
        <x:v>Predicted</x:v>
      </x:c>
    </x:row>
    <x:row r="66" ht="15" hidden="0" customHeight="1">
      <x:c r="A66" s="17" t="str">
        <x:v>Spitz et al. 2010</x:v>
      </x:c>
      <x:c r="B66" s="17" t="str">
        <x:v>Cepola macrophthalma</x:v>
      </x:c>
      <x:c r="C66" s="52" t="n">
        <x:v>3.9</x:v>
      </x:c>
      <x:c r="D66" s="17" t="str">
        <x:v>Cepola</x:v>
      </x:c>
      <x:c r="E66" s="17" t="str">
        <x:v>Cepolidae</x:v>
      </x:c>
      <x:c r="F66" s="17" t="str">
        <x:v>Unclassified teleosts</x:v>
      </x:c>
      <x:c r="G66" s="17" t="str">
        <x:v>Teleostei</x:v>
      </x:c>
      <x:c r="H66" s="17" t="n">
        <x:v>1</x:v>
      </x:c>
      <x:c r="I66" s="17" t="str">
        <x:v>No</x:v>
      </x:c>
      <x:c r="J66" s="17" t="str">
        <x:v>Ecological proxy</x:v>
      </x:c>
      <x:c r="K66" s="52" t="n">
        <x:v>4.92</x:v>
      </x:c>
      <x:c r="L66" s="52" t="n">
        <x:f>IF(K66="","",K66-C66)</x:f>
        <x:v>1.02</x:v>
      </x:c>
      <x:c r="M66" s="52" t="n">
        <x:f>IF(L66="","",ABS(L66))</x:f>
        <x:v>1.02</x:v>
      </x:c>
      <x:c r="N66" s="53" t="n">
        <x:f>IF(M66="","",M66/C66*100)</x:f>
        <x:v>26.153846153846157</x:v>
      </x:c>
      <x:c r="O66" s="17" t="str">
        <x:v>Predicted</x:v>
      </x:c>
    </x:row>
    <x:row r="67" ht="15" hidden="0" customHeight="1">
      <x:c r="A67" s="17" t="str">
        <x:v>Spitz et al. 2010</x:v>
      </x:c>
      <x:c r="B67" s="17" t="str">
        <x:v>Chelidonichthys cuculus</x:v>
      </x:c>
      <x:c r="C67" s="52" t="n">
        <x:v>8.2</x:v>
      </x:c>
      <x:c r="D67" s="17" t="str">
        <x:v>Chelidonichthys</x:v>
      </x:c>
      <x:c r="E67" s="17" t="str">
        <x:v>Triglidae</x:v>
      </x:c>
      <x:c r="F67" s="17" t="str">
        <x:v>Unclassified teleosts</x:v>
      </x:c>
      <x:c r="G67" s="17" t="str">
        <x:v>Teleostei</x:v>
      </x:c>
      <x:c r="H67" s="17" t="n">
        <x:v>1</x:v>
      </x:c>
      <x:c r="I67" s="17" t="str">
        <x:v>No</x:v>
      </x:c>
      <x:c r="J67" s="17" t="str">
        <x:v>Ecological proxy</x:v>
      </x:c>
      <x:c r="K67" s="52" t="n">
        <x:v>4.92</x:v>
      </x:c>
      <x:c r="L67" s="52" t="n">
        <x:f>IF(K67="","",K67-C67)</x:f>
        <x:v>-3.2799999999999994</x:v>
      </x:c>
      <x:c r="M67" s="52" t="n">
        <x:f>IF(L67="","",ABS(L67))</x:f>
        <x:v>3.2799999999999994</x:v>
      </x:c>
      <x:c r="N67" s="53" t="n">
        <x:f>IF(M67="","",M67/C67*100)</x:f>
        <x:v>40</x:v>
      </x:c>
      <x:c r="O67" s="17" t="str">
        <x:v>Predicted</x:v>
      </x:c>
    </x:row>
    <x:row r="68" ht="15" hidden="0" customHeight="1">
      <x:c r="A68" s="17" t="str">
        <x:v>Spitz et al. 2010</x:v>
      </x:c>
      <x:c r="B68" s="17" t="str">
        <x:v>Chimaera monstrosa</x:v>
      </x:c>
      <x:c r="C68" s="52" t="n">
        <x:v>3.9</x:v>
      </x:c>
      <x:c r="D68" s="17" t="str">
        <x:v>Chimaera</x:v>
      </x:c>
      <x:c r="E68" s="17" t="str">
        <x:v>Chimaeridae</x:v>
      </x:c>
      <x:c r="F68" s="17" t="str">
        <x:v>Demersal chimaeras</x:v>
      </x:c>
      <x:c r="G68" s="17" t="str">
        <x:v>Chondrichthyes</x:v>
      </x:c>
      <x:c r="H68" s="17" t="n">
        <x:v>1</x:v>
      </x:c>
      <x:c r="I68" s="17" t="str">
        <x:v>No</x:v>
      </x:c>
      <x:c r="J68" s="17" t="str">
        <x:v>No fallback</x:v>
      </x:c>
      <x:c r="K68" s="52"/>
      <x:c r="L68" s="52" t="str">
        <x:f>IF(K68="","",K68-C68)</x:f>
      </x:c>
      <x:c r="M68" s="52" t="str">
        <x:f>IF(L68="","",ABS(L68))</x:f>
      </x:c>
      <x:c r="N68" s="53" t="str">
        <x:f>IF(M68="","",M68/C68*100)</x:f>
      </x:c>
      <x:c r="O68" s="17" t="str">
        <x:v>No prediction</x:v>
      </x:c>
    </x:row>
    <x:row r="69" ht="15" hidden="0" customHeight="1">
      <x:c r="A69" s="17" t="str">
        <x:v>Spitz et al. 2010</x:v>
      </x:c>
      <x:c r="B69" s="17" t="str">
        <x:v>Clupea harengus</x:v>
      </x:c>
      <x:c r="C69" s="52" t="n">
        <x:v>10.2</x:v>
      </x:c>
      <x:c r="D69" s="17" t="str">
        <x:v>Clupea</x:v>
      </x:c>
      <x:c r="E69" s="17" t="str">
        <x:v>Clupeidae</x:v>
      </x:c>
      <x:c r="F69" s="17" t="str">
        <x:v>Small pelagic forage fishes</x:v>
      </x:c>
      <x:c r="G69" s="17" t="str">
        <x:v>Teleostei</x:v>
      </x:c>
      <x:c r="H69" s="17" t="n">
        <x:v>1</x:v>
      </x:c>
      <x:c r="I69" s="17" t="str">
        <x:v>Yes</x:v>
      </x:c>
      <x:c r="J69" s="17" t="str">
        <x:v>Exact taxon</x:v>
      </x:c>
      <x:c r="K69" s="52" t="n">
        <x:v>5.71</x:v>
      </x:c>
      <x:c r="L69" s="52" t="n">
        <x:f>IF(K69="","",K69-C69)</x:f>
        <x:v>-4.489999999999999</x:v>
      </x:c>
      <x:c r="M69" s="52" t="n">
        <x:f>IF(L69="","",ABS(L69))</x:f>
        <x:v>4.489999999999999</x:v>
      </x:c>
      <x:c r="N69" s="53" t="n">
        <x:f>IF(M69="","",M69/C69*100)</x:f>
        <x:v>44.01960784313725</x:v>
      </x:c>
      <x:c r="O69" s="17" t="str">
        <x:v>Predicted</x:v>
      </x:c>
    </x:row>
    <x:row r="70" ht="15" hidden="0" customHeight="1">
      <x:c r="A70" s="17" t="str">
        <x:v>Spitz et al. 2010</x:v>
      </x:c>
      <x:c r="B70" s="17" t="str">
        <x:v>Coelorinchus coelorinchus</x:v>
      </x:c>
      <x:c r="C70" s="52" t="n">
        <x:v>5.1</x:v>
      </x:c>
      <x:c r="D70" s="17" t="str">
        <x:v>Coelorinchus</x:v>
      </x:c>
      <x:c r="E70" s="17" t="str">
        <x:v>Macrouridae</x:v>
      </x:c>
      <x:c r="F70" s="17" t="str">
        <x:v>Other demersal fishes</x:v>
      </x:c>
      <x:c r="G70" s="17" t="str">
        <x:v>Teleostei</x:v>
      </x:c>
      <x:c r="H70" s="17" t="n">
        <x:v>1</x:v>
      </x:c>
      <x:c r="I70" s="17" t="str">
        <x:v>No</x:v>
      </x:c>
      <x:c r="J70" s="17" t="str">
        <x:v>Ecological proxy</x:v>
      </x:c>
      <x:c r="K70" s="52" t="n">
        <x:v>5.2</x:v>
      </x:c>
      <x:c r="L70" s="52" t="n">
        <x:f>IF(K70="","",K70-C70)</x:f>
        <x:v>0.10000000000000053</x:v>
      </x:c>
      <x:c r="M70" s="52" t="n">
        <x:f>IF(L70="","",ABS(L70))</x:f>
        <x:v>0.10000000000000053</x:v>
      </x:c>
      <x:c r="N70" s="53" t="n">
        <x:f>IF(M70="","",M70/C70*100)</x:f>
        <x:v>1.960784313725501</x:v>
      </x:c>
      <x:c r="O70" s="17" t="str">
        <x:v>Predicted</x:v>
      </x:c>
    </x:row>
    <x:row r="71" ht="15" hidden="0" customHeight="1">
      <x:c r="A71" s="17" t="str">
        <x:v>Spitz et al. 2010</x:v>
      </x:c>
      <x:c r="B71" s="17" t="str">
        <x:v>Dicentrarchus labrax</x:v>
      </x:c>
      <x:c r="C71" s="52" t="n">
        <x:v>6</x:v>
      </x:c>
      <x:c r="D71" s="17" t="str">
        <x:v>Dicentrarchus</x:v>
      </x:c>
      <x:c r="E71" s="17" t="str">
        <x:v>Moronidae</x:v>
      </x:c>
      <x:c r="F71" s="17" t="str">
        <x:v>Unclassified teleosts</x:v>
      </x:c>
      <x:c r="G71" s="17" t="str">
        <x:v>Teleostei</x:v>
      </x:c>
      <x:c r="H71" s="17" t="n">
        <x:v>1</x:v>
      </x:c>
      <x:c r="I71" s="17" t="str">
        <x:v>No</x:v>
      </x:c>
      <x:c r="J71" s="17" t="str">
        <x:v>Ecological proxy</x:v>
      </x:c>
      <x:c r="K71" s="52" t="n">
        <x:v>4.92</x:v>
      </x:c>
      <x:c r="L71" s="52" t="n">
        <x:f>IF(K71="","",K71-C71)</x:f>
        <x:v>-1.08</x:v>
      </x:c>
      <x:c r="M71" s="52" t="n">
        <x:f>IF(L71="","",ABS(L71))</x:f>
        <x:v>1.08</x:v>
      </x:c>
      <x:c r="N71" s="53" t="n">
        <x:f>IF(M71="","",M71/C71*100)</x:f>
        <x:v>18.000000000000004</x:v>
      </x:c>
      <x:c r="O71" s="17" t="str">
        <x:v>Predicted</x:v>
      </x:c>
    </x:row>
    <x:row r="72" ht="15" hidden="0" customHeight="1">
      <x:c r="A72" s="17" t="str">
        <x:v>Spitz et al. 2010</x:v>
      </x:c>
      <x:c r="B72" s="17" t="str">
        <x:v>Dicologlossa cuneata</x:v>
      </x:c>
      <x:c r="C72" s="52" t="n">
        <x:v>6.5</x:v>
      </x:c>
      <x:c r="D72" s="17" t="str">
        <x:v>Dicologlossa</x:v>
      </x:c>
      <x:c r="E72" s="17" t="str">
        <x:v>Soleidae</x:v>
      </x:c>
      <x:c r="F72" s="17" t="str">
        <x:v>Demersal flatfishes</x:v>
      </x:c>
      <x:c r="G72" s="17" t="str">
        <x:v>Teleostei</x:v>
      </x:c>
      <x:c r="H72" s="17" t="n">
        <x:v>1</x:v>
      </x:c>
      <x:c r="I72" s="17" t="str">
        <x:v>No</x:v>
      </x:c>
      <x:c r="J72" s="17" t="str">
        <x:v>Ecological proxy</x:v>
      </x:c>
      <x:c r="K72" s="52" t="n">
        <x:v>4.98</x:v>
      </x:c>
      <x:c r="L72" s="52" t="n">
        <x:f>IF(K72="","",K72-C72)</x:f>
        <x:v>-1.5199999999999996</x:v>
      </x:c>
      <x:c r="M72" s="52" t="n">
        <x:f>IF(L72="","",ABS(L72))</x:f>
        <x:v>1.5199999999999996</x:v>
      </x:c>
      <x:c r="N72" s="53" t="n">
        <x:f>IF(M72="","",M72/C72*100)</x:f>
        <x:v>23.38461538461538</x:v>
      </x:c>
      <x:c r="O72" s="17" t="str">
        <x:v>Predicted</x:v>
      </x:c>
    </x:row>
    <x:row r="73" ht="15" hidden="0" customHeight="1">
      <x:c r="A73" s="17" t="str">
        <x:v>Spitz et al. 2010</x:v>
      </x:c>
      <x:c r="B73" s="17" t="str">
        <x:v>Eledone cirrhosa</x:v>
      </x:c>
      <x:c r="C73" s="52" t="n">
        <x:v>4.7</x:v>
      </x:c>
      <x:c r="D73" s="17" t="str">
        <x:v>Eledone</x:v>
      </x:c>
      <x:c r="E73" s="17" t="str">
        <x:v>Octopodidae</x:v>
      </x:c>
      <x:c r="F73" s="17" t="str">
        <x:v>Benthic octopuses</x:v>
      </x:c>
      <x:c r="G73" s="17" t="str">
        <x:v>Cephalopoda</x:v>
      </x:c>
      <x:c r="H73" s="17" t="n">
        <x:v>1</x:v>
      </x:c>
      <x:c r="I73" s="17" t="str">
        <x:v>No</x:v>
      </x:c>
      <x:c r="J73" s="17" t="str">
        <x:v>Broad</x:v>
      </x:c>
      <x:c r="K73" s="52" t="n">
        <x:v>5.16</x:v>
      </x:c>
      <x:c r="L73" s="52" t="n">
        <x:f>IF(K73="","",K73-C73)</x:f>
        <x:v>0.45999999999999996</x:v>
      </x:c>
      <x:c r="M73" s="52" t="n">
        <x:f>IF(L73="","",ABS(L73))</x:f>
        <x:v>0.45999999999999996</x:v>
      </x:c>
      <x:c r="N73" s="53" t="n">
        <x:f>IF(M73="","",M73/C73*100)</x:f>
        <x:v>9.787234042553191</x:v>
      </x:c>
      <x:c r="O73" s="17" t="str">
        <x:v>Predicted</x:v>
      </x:c>
    </x:row>
    <x:row r="74" ht="15" hidden="0" customHeight="1">
      <x:c r="A74" s="17" t="str">
        <x:v>Spitz et al. 2010</x:v>
      </x:c>
      <x:c r="B74" s="17" t="str">
        <x:v>Engraulis encrasicolus</x:v>
      </x:c>
      <x:c r="C74" s="52" t="n">
        <x:v>5.8</x:v>
      </x:c>
      <x:c r="D74" s="17" t="str">
        <x:v>Engraulis</x:v>
      </x:c>
      <x:c r="E74" s="17" t="str">
        <x:v>Engraulidae</x:v>
      </x:c>
      <x:c r="F74" s="17" t="str">
        <x:v>Small pelagic forage fishes</x:v>
      </x:c>
      <x:c r="G74" s="17" t="str">
        <x:v>Teleostei</x:v>
      </x:c>
      <x:c r="H74" s="17" t="n">
        <x:v>1</x:v>
      </x:c>
      <x:c r="I74" s="17" t="str">
        <x:v>No</x:v>
      </x:c>
      <x:c r="J74" s="17" t="str">
        <x:v>Genus</x:v>
      </x:c>
      <x:c r="K74" s="52" t="n">
        <x:v>7.85</x:v>
      </x:c>
      <x:c r="L74" s="52" t="n">
        <x:f>IF(K74="","",K74-C74)</x:f>
        <x:v>2.05</x:v>
      </x:c>
      <x:c r="M74" s="52" t="n">
        <x:f>IF(L74="","",ABS(L74))</x:f>
        <x:v>2.05</x:v>
      </x:c>
      <x:c r="N74" s="53" t="n">
        <x:f>IF(M74="","",M74/C74*100)</x:f>
        <x:v>35.3448275862069</x:v>
      </x:c>
      <x:c r="O74" s="17" t="str">
        <x:v>Predicted</x:v>
      </x:c>
    </x:row>
    <x:row r="75" ht="15" hidden="0" customHeight="1">
      <x:c r="A75" s="17" t="str">
        <x:v>Spitz et al. 2010</x:v>
      </x:c>
      <x:c r="B75" s="17" t="str">
        <x:v>Entelurus aequoreus</x:v>
      </x:c>
      <x:c r="C75" s="52" t="n">
        <x:v>4.7</x:v>
      </x:c>
      <x:c r="D75" s="17" t="str">
        <x:v>Entelurus</x:v>
      </x:c>
      <x:c r="E75" s="17" t="str">
        <x:v>Syngnathidae</x:v>
      </x:c>
      <x:c r="F75" s="17" t="str">
        <x:v>Unclassified teleosts</x:v>
      </x:c>
      <x:c r="G75" s="17" t="str">
        <x:v>Teleostei</x:v>
      </x:c>
      <x:c r="H75" s="17" t="n">
        <x:v>1</x:v>
      </x:c>
      <x:c r="I75" s="17" t="str">
        <x:v>No</x:v>
      </x:c>
      <x:c r="J75" s="17" t="str">
        <x:v>Ecological proxy</x:v>
      </x:c>
      <x:c r="K75" s="52" t="n">
        <x:v>4.92</x:v>
      </x:c>
      <x:c r="L75" s="52" t="n">
        <x:f>IF(K75="","",K75-C75)</x:f>
        <x:v>0.21999999999999975</x:v>
      </x:c>
      <x:c r="M75" s="52" t="n">
        <x:f>IF(L75="","",ABS(L75))</x:f>
        <x:v>0.21999999999999975</x:v>
      </x:c>
      <x:c r="N75" s="53" t="n">
        <x:f>IF(M75="","",M75/C75*100)</x:f>
        <x:v>4.680851063829781</x:v>
      </x:c>
      <x:c r="O75" s="17" t="str">
        <x:v>Predicted</x:v>
      </x:c>
    </x:row>
    <x:row r="76" ht="15" hidden="0" customHeight="1">
      <x:c r="A76" s="17" t="str">
        <x:v>Spitz et al. 2010</x:v>
      </x:c>
      <x:c r="B76" s="17" t="str">
        <x:v>Gadiculus argenteus</x:v>
      </x:c>
      <x:c r="C76" s="52" t="n">
        <x:v>5</x:v>
      </x:c>
      <x:c r="D76" s="17" t="str">
        <x:v>Gadiculus</x:v>
      </x:c>
      <x:c r="E76" s="17" t="str">
        <x:v>Gadidae</x:v>
      </x:c>
      <x:c r="F76" s="17" t="str">
        <x:v>Other demersal fishes</x:v>
      </x:c>
      <x:c r="G76" s="17" t="str">
        <x:v>Teleostei</x:v>
      </x:c>
      <x:c r="H76" s="17" t="n">
        <x:v>1</x:v>
      </x:c>
      <x:c r="I76" s="17" t="str">
        <x:v>No</x:v>
      </x:c>
      <x:c r="J76" s="17" t="str">
        <x:v>Ecological proxy</x:v>
      </x:c>
      <x:c r="K76" s="52" t="n">
        <x:v>5.2</x:v>
      </x:c>
      <x:c r="L76" s="52" t="n">
        <x:f>IF(K76="","",K76-C76)</x:f>
        <x:v>0.20000000000000018</x:v>
      </x:c>
      <x:c r="M76" s="52" t="n">
        <x:f>IF(L76="","",ABS(L76))</x:f>
        <x:v>0.20000000000000018</x:v>
      </x:c>
      <x:c r="N76" s="53" t="n">
        <x:f>IF(M76="","",M76/C76*100)</x:f>
        <x:v>4.0000000000000036</x:v>
      </x:c>
      <x:c r="O76" s="17" t="str">
        <x:v>Predicted</x:v>
      </x:c>
    </x:row>
    <x:row r="77" ht="15" hidden="0" customHeight="1">
      <x:c r="A77" s="17" t="str">
        <x:v>Spitz et al. 2010</x:v>
      </x:c>
      <x:c r="B77" s="17" t="str">
        <x:v>Glyptocephalus cynoglossus</x:v>
      </x:c>
      <x:c r="C77" s="52" t="n">
        <x:v>5.6</x:v>
      </x:c>
      <x:c r="D77" s="17" t="str">
        <x:v>Glyptocephalus</x:v>
      </x:c>
      <x:c r="E77" s="17" t="str">
        <x:v>Pleuronectidae</x:v>
      </x:c>
      <x:c r="F77" s="17" t="str">
        <x:v>Demersal flatfishes</x:v>
      </x:c>
      <x:c r="G77" s="17" t="str">
        <x:v>Teleostei</x:v>
      </x:c>
      <x:c r="H77" s="17" t="n">
        <x:v>1</x:v>
      </x:c>
      <x:c r="I77" s="17" t="str">
        <x:v>No</x:v>
      </x:c>
      <x:c r="J77" s="17" t="str">
        <x:v>Family</x:v>
      </x:c>
      <x:c r="K77" s="52" t="n">
        <x:v>4.855</x:v>
      </x:c>
      <x:c r="L77" s="52" t="n">
        <x:f>IF(K77="","",K77-C77)</x:f>
        <x:v>-0.7449999999999992</x:v>
      </x:c>
      <x:c r="M77" s="52" t="n">
        <x:f>IF(L77="","",ABS(L77))</x:f>
        <x:v>0.7449999999999992</x:v>
      </x:c>
      <x:c r="N77" s="53" t="n">
        <x:f>IF(M77="","",M77/C77*100)</x:f>
        <x:v>13.303571428571415</x:v>
      </x:c>
      <x:c r="O77" s="17" t="str">
        <x:v>Predicted</x:v>
      </x:c>
    </x:row>
    <x:row r="78" ht="15" hidden="0" customHeight="1">
      <x:c r="A78" s="17" t="str">
        <x:v>Spitz et al. 2010</x:v>
      </x:c>
      <x:c r="B78" s="17" t="str">
        <x:v>Helicolenus dactylopterus</x:v>
      </x:c>
      <x:c r="C78" s="52" t="n">
        <x:v>9.2</x:v>
      </x:c>
      <x:c r="D78" s="17" t="str">
        <x:v>Helicolenus</x:v>
      </x:c>
      <x:c r="E78" s="17" t="str">
        <x:v>Sebastidae</x:v>
      </x:c>
      <x:c r="F78" s="17" t="str">
        <x:v>Unclassified teleosts</x:v>
      </x:c>
      <x:c r="G78" s="17" t="str">
        <x:v>Teleostei</x:v>
      </x:c>
      <x:c r="H78" s="17" t="n">
        <x:v>1</x:v>
      </x:c>
      <x:c r="I78" s="17" t="str">
        <x:v>No</x:v>
      </x:c>
      <x:c r="J78" s="17" t="str">
        <x:v>Family</x:v>
      </x:c>
      <x:c r="K78" s="52" t="n">
        <x:v>2.97</x:v>
      </x:c>
      <x:c r="L78" s="52" t="n">
        <x:f>IF(K78="","",K78-C78)</x:f>
        <x:v>-6.229999999999999</x:v>
      </x:c>
      <x:c r="M78" s="52" t="n">
        <x:f>IF(L78="","",ABS(L78))</x:f>
        <x:v>6.229999999999999</x:v>
      </x:c>
      <x:c r="N78" s="53" t="n">
        <x:f>IF(M78="","",M78/C78*100)</x:f>
        <x:v>67.71739130434781</x:v>
      </x:c>
      <x:c r="O78" s="17" t="str">
        <x:v>Predicted</x:v>
      </x:c>
    </x:row>
    <x:row r="79" ht="15" hidden="0" customHeight="1">
      <x:c r="A79" s="17" t="str">
        <x:v>Spitz et al. 2010</x:v>
      </x:c>
      <x:c r="B79" s="17" t="str">
        <x:v>Hoplostethus mediterraneus</x:v>
      </x:c>
      <x:c r="C79" s="52" t="n">
        <x:v>4.7</x:v>
      </x:c>
      <x:c r="D79" s="17" t="str">
        <x:v>Hoplostethus</x:v>
      </x:c>
      <x:c r="E79" s="17" t="str">
        <x:v>Trachichthyidae</x:v>
      </x:c>
      <x:c r="F79" s="17" t="str">
        <x:v>Unclassified teleosts</x:v>
      </x:c>
      <x:c r="G79" s="17" t="str">
        <x:v>Teleostei</x:v>
      </x:c>
      <x:c r="H79" s="17" t="n">
        <x:v>1</x:v>
      </x:c>
      <x:c r="I79" s="17" t="str">
        <x:v>No</x:v>
      </x:c>
      <x:c r="J79" s="17" t="str">
        <x:v>Ecological proxy</x:v>
      </x:c>
      <x:c r="K79" s="52" t="n">
        <x:v>4.92</x:v>
      </x:c>
      <x:c r="L79" s="52" t="n">
        <x:f>IF(K79="","",K79-C79)</x:f>
        <x:v>0.21999999999999975</x:v>
      </x:c>
      <x:c r="M79" s="52" t="n">
        <x:f>IF(L79="","",ABS(L79))</x:f>
        <x:v>0.21999999999999975</x:v>
      </x:c>
      <x:c r="N79" s="53" t="n">
        <x:f>IF(M79="","",M79/C79*100)</x:f>
        <x:v>4.680851063829781</x:v>
      </x:c>
      <x:c r="O79" s="17" t="str">
        <x:v>Predicted</x:v>
      </x:c>
    </x:row>
    <x:row r="80" ht="15" hidden="0" customHeight="1">
      <x:c r="A80" s="17" t="str">
        <x:v>Spitz et al. 2010</x:v>
      </x:c>
      <x:c r="B80" s="17" t="str">
        <x:v>Hyperoplus lanceolatus</x:v>
      </x:c>
      <x:c r="C80" s="52" t="n">
        <x:v>4.8</x:v>
      </x:c>
      <x:c r="D80" s="17" t="str">
        <x:v>Hyperoplus</x:v>
      </x:c>
      <x:c r="E80" s="17" t="str">
        <x:v>Ammodytidae</x:v>
      </x:c>
      <x:c r="F80" s="17" t="str">
        <x:v>Small pelagic forage fishes</x:v>
      </x:c>
      <x:c r="G80" s="17" t="str">
        <x:v>Teleostei</x:v>
      </x:c>
      <x:c r="H80" s="17" t="n">
        <x:v>1</x:v>
      </x:c>
      <x:c r="I80" s="17" t="str">
        <x:v>No</x:v>
      </x:c>
      <x:c r="J80" s="17" t="str">
        <x:v>Family</x:v>
      </x:c>
      <x:c r="K80" s="52" t="n">
        <x:v>5.475</x:v>
      </x:c>
      <x:c r="L80" s="52" t="n">
        <x:f>IF(K80="","",K80-C80)</x:f>
        <x:v>0.6749999999999998</x:v>
      </x:c>
      <x:c r="M80" s="52" t="n">
        <x:f>IF(L80="","",ABS(L80))</x:f>
        <x:v>0.6749999999999998</x:v>
      </x:c>
      <x:c r="N80" s="53" t="n">
        <x:f>IF(M80="","",M80/C80*100)</x:f>
        <x:v>14.062499999999996</x:v>
      </x:c>
      <x:c r="O80" s="17" t="str">
        <x:v>Predicted</x:v>
      </x:c>
    </x:row>
    <x:row r="81" ht="15" hidden="0" customHeight="1">
      <x:c r="A81" s="17" t="str">
        <x:v>Spitz et al. 2010</x:v>
      </x:c>
      <x:c r="B81" s="17" t="str">
        <x:v>Illex coindeti</x:v>
      </x:c>
      <x:c r="C81" s="52" t="n">
        <x:v>4.3</x:v>
      </x:c>
      <x:c r="D81" s="17" t="str">
        <x:v>Illex</x:v>
      </x:c>
      <x:c r="E81" s="17" t="str">
        <x:v>Ommastrephidae</x:v>
      </x:c>
      <x:c r="F81" s="17" t="str">
        <x:v>Pelagic squids</x:v>
      </x:c>
      <x:c r="G81" s="17" t="str">
        <x:v>Cephalopoda</x:v>
      </x:c>
      <x:c r="H81" s="17" t="n">
        <x:v>1</x:v>
      </x:c>
      <x:c r="I81" s="17" t="str">
        <x:v>No</x:v>
      </x:c>
      <x:c r="J81" s="17" t="str">
        <x:v>Genus</x:v>
      </x:c>
      <x:c r="K81" s="52" t="n">
        <x:v>5.45</x:v>
      </x:c>
      <x:c r="L81" s="52" t="n">
        <x:f>IF(K81="","",K81-C81)</x:f>
        <x:v>1.1500000000000004</x:v>
      </x:c>
      <x:c r="M81" s="52" t="n">
        <x:f>IF(L81="","",ABS(L81))</x:f>
        <x:v>1.1500000000000004</x:v>
      </x:c>
      <x:c r="N81" s="53" t="n">
        <x:f>IF(M81="","",M81/C81*100)</x:f>
        <x:v>26.744186046511636</x:v>
      </x:c>
      <x:c r="O81" s="17" t="str">
        <x:v>Predicted</x:v>
      </x:c>
    </x:row>
    <x:row r="82" ht="15" hidden="0" customHeight="1">
      <x:c r="A82" s="17" t="str">
        <x:v>Spitz et al. 2010</x:v>
      </x:c>
      <x:c r="B82" s="17" t="str">
        <x:v>Labrus bergylta</x:v>
      </x:c>
      <x:c r="C82" s="52" t="n">
        <x:v>5.4</x:v>
      </x:c>
      <x:c r="D82" s="17" t="str">
        <x:v>Labrus</x:v>
      </x:c>
      <x:c r="E82" s="17" t="str">
        <x:v>Labridae</x:v>
      </x:c>
      <x:c r="F82" s="17" t="str">
        <x:v>Unclassified teleosts</x:v>
      </x:c>
      <x:c r="G82" s="17" t="str">
        <x:v>Teleostei</x:v>
      </x:c>
      <x:c r="H82" s="17" t="n">
        <x:v>1</x:v>
      </x:c>
      <x:c r="I82" s="17" t="str">
        <x:v>No</x:v>
      </x:c>
      <x:c r="J82" s="17" t="str">
        <x:v>Ecological proxy</x:v>
      </x:c>
      <x:c r="K82" s="52" t="n">
        <x:v>4.92</x:v>
      </x:c>
      <x:c r="L82" s="52" t="n">
        <x:f>IF(K82="","",K82-C82)</x:f>
        <x:v>-0.4800000000000004</x:v>
      </x:c>
      <x:c r="M82" s="52" t="n">
        <x:f>IF(L82="","",ABS(L82))</x:f>
        <x:v>0.4800000000000004</x:v>
      </x:c>
      <x:c r="N82" s="53" t="n">
        <x:f>IF(M82="","",M82/C82*100)</x:f>
        <x:v>8.888888888888896</x:v>
      </x:c>
      <x:c r="O82" s="17" t="str">
        <x:v>Predicted</x:v>
      </x:c>
    </x:row>
    <x:row r="83" ht="15" hidden="0" customHeight="1">
      <x:c r="A83" s="17" t="str">
        <x:v>Spitz et al. 2010</x:v>
      </x:c>
      <x:c r="B83" s="17" t="str">
        <x:v>Lampanyctus crocodilus</x:v>
      </x:c>
      <x:c r="C83" s="52" t="n">
        <x:v>4.1</x:v>
      </x:c>
      <x:c r="D83" s="17" t="str">
        <x:v>Lampanyctus</x:v>
      </x:c>
      <x:c r="E83" s="17" t="str">
        <x:v>Myctophidae</x:v>
      </x:c>
      <x:c r="F83" s="17" t="str">
        <x:v>Mesopelagic forage fishes</x:v>
      </x:c>
      <x:c r="G83" s="17" t="str">
        <x:v>Teleostei</x:v>
      </x:c>
      <x:c r="H83" s="17" t="n">
        <x:v>1</x:v>
      </x:c>
      <x:c r="I83" s="17" t="str">
        <x:v>No</x:v>
      </x:c>
      <x:c r="J83" s="17" t="str">
        <x:v>Family</x:v>
      </x:c>
      <x:c r="K83" s="52" t="n">
        <x:v>7</x:v>
      </x:c>
      <x:c r="L83" s="52" t="n">
        <x:f>IF(K83="","",K83-C83)</x:f>
        <x:v>2.9000000000000004</x:v>
      </x:c>
      <x:c r="M83" s="52" t="n">
        <x:f>IF(L83="","",ABS(L83))</x:f>
        <x:v>2.9000000000000004</x:v>
      </x:c>
      <x:c r="N83" s="53" t="n">
        <x:f>IF(M83="","",M83/C83*100)</x:f>
        <x:v>70.73170731707319</x:v>
      </x:c>
      <x:c r="O83" s="17" t="str">
        <x:v>Predicted</x:v>
      </x:c>
    </x:row>
    <x:row r="84" ht="15" hidden="0" customHeight="1">
      <x:c r="A84" s="17" t="str">
        <x:v>Spitz et al. 2010</x:v>
      </x:c>
      <x:c r="B84" s="17" t="str">
        <x:v>Lepidorhombus whiffiagonis</x:v>
      </x:c>
      <x:c r="C84" s="52" t="n">
        <x:v>6.1</x:v>
      </x:c>
      <x:c r="D84" s="17" t="str">
        <x:v>Lepidorhombus</x:v>
      </x:c>
      <x:c r="E84" s="17" t="str">
        <x:v>Scophthalmidae</x:v>
      </x:c>
      <x:c r="F84" s="17" t="str">
        <x:v>Demersal flatfishes</x:v>
      </x:c>
      <x:c r="G84" s="17" t="str">
        <x:v>Teleostei</x:v>
      </x:c>
      <x:c r="H84" s="17" t="n">
        <x:v>1</x:v>
      </x:c>
      <x:c r="I84" s="17" t="str">
        <x:v>No</x:v>
      </x:c>
      <x:c r="J84" s="17" t="str">
        <x:v>Ecological proxy</x:v>
      </x:c>
      <x:c r="K84" s="52" t="n">
        <x:v>4.98</x:v>
      </x:c>
      <x:c r="L84" s="52" t="n">
        <x:f>IF(K84="","",K84-C84)</x:f>
        <x:v>-1.1199999999999992</x:v>
      </x:c>
      <x:c r="M84" s="52" t="n">
        <x:f>IF(L84="","",ABS(L84))</x:f>
        <x:v>1.1199999999999992</x:v>
      </x:c>
      <x:c r="N84" s="53" t="n">
        <x:f>IF(M84="","",M84/C84*100)</x:f>
        <x:v>18.360655737704906</x:v>
      </x:c>
      <x:c r="O84" s="17" t="str">
        <x:v>Predicted</x:v>
      </x:c>
    </x:row>
    <x:row r="85" ht="15" hidden="0" customHeight="1">
      <x:c r="A85" s="17" t="str">
        <x:v>Spitz et al. 2010</x:v>
      </x:c>
      <x:c r="B85" s="17" t="str">
        <x:v>Lesueurigobius friesii</x:v>
      </x:c>
      <x:c r="C85" s="52" t="n">
        <x:v>5.6</x:v>
      </x:c>
      <x:c r="D85" s="17" t="str">
        <x:v>Lesueurigobius</x:v>
      </x:c>
      <x:c r="E85" s="17" t="str">
        <x:v>Gobiidae</x:v>
      </x:c>
      <x:c r="F85" s="17" t="str">
        <x:v>Unclassified teleosts</x:v>
      </x:c>
      <x:c r="G85" s="17" t="str">
        <x:v>Teleostei</x:v>
      </x:c>
      <x:c r="H85" s="17" t="n">
        <x:v>1</x:v>
      </x:c>
      <x:c r="I85" s="17" t="str">
        <x:v>No</x:v>
      </x:c>
      <x:c r="J85" s="17" t="str">
        <x:v>Family</x:v>
      </x:c>
      <x:c r="K85" s="52" t="n">
        <x:v>4.26</x:v>
      </x:c>
      <x:c r="L85" s="52" t="n">
        <x:f>IF(K85="","",K85-C85)</x:f>
        <x:v>-1.3399999999999999</x:v>
      </x:c>
      <x:c r="M85" s="52" t="n">
        <x:f>IF(L85="","",ABS(L85))</x:f>
        <x:v>1.3399999999999999</x:v>
      </x:c>
      <x:c r="N85" s="53" t="n">
        <x:f>IF(M85="","",M85/C85*100)</x:f>
        <x:v>23.928571428571427</x:v>
      </x:c>
      <x:c r="O85" s="17" t="str">
        <x:v>Predicted</x:v>
      </x:c>
    </x:row>
    <x:row r="86" ht="15" hidden="0" customHeight="1">
      <x:c r="A86" s="17" t="str">
        <x:v>Spitz et al. 2010</x:v>
      </x:c>
      <x:c r="B86" s="17" t="str">
        <x:v>Leucoraja naevus</x:v>
      </x:c>
      <x:c r="C86" s="52" t="n">
        <x:v>5.7</x:v>
      </x:c>
      <x:c r="D86" s="17" t="str">
        <x:v>Leucoraja</x:v>
      </x:c>
      <x:c r="E86" s="17" t="str">
        <x:v>Rajidae</x:v>
      </x:c>
      <x:c r="F86" s="17" t="str">
        <x:v>Demersal rays</x:v>
      </x:c>
      <x:c r="G86" s="17" t="str">
        <x:v>Chondrichthyes</x:v>
      </x:c>
      <x:c r="H86" s="17" t="n">
        <x:v>1</x:v>
      </x:c>
      <x:c r="I86" s="17" t="str">
        <x:v>No</x:v>
      </x:c>
      <x:c r="J86" s="17" t="str">
        <x:v>No fallback</x:v>
      </x:c>
      <x:c r="K86" s="52"/>
      <x:c r="L86" s="52" t="str">
        <x:f>IF(K86="","",K86-C86)</x:f>
      </x:c>
      <x:c r="M86" s="52" t="str">
        <x:f>IF(L86="","",ABS(L86))</x:f>
      </x:c>
      <x:c r="N86" s="53" t="str">
        <x:f>IF(M86="","",M86/C86*100)</x:f>
      </x:c>
      <x:c r="O86" s="17" t="str">
        <x:v>No prediction</x:v>
      </x:c>
    </x:row>
    <x:row r="87" ht="15" hidden="0" customHeight="1">
      <x:c r="A87" s="17" t="str">
        <x:v>Spitz et al. 2010</x:v>
      </x:c>
      <x:c r="B87" s="17" t="str">
        <x:v>Liza ramada</x:v>
      </x:c>
      <x:c r="C87" s="52" t="n">
        <x:v>6.5</x:v>
      </x:c>
      <x:c r="D87" s="17" t="str">
        <x:v>Liza</x:v>
      </x:c>
      <x:c r="E87" s="17" t="str">
        <x:v>Mugilidae</x:v>
      </x:c>
      <x:c r="F87" s="17" t="str">
        <x:v>Unclassified teleosts</x:v>
      </x:c>
      <x:c r="G87" s="17" t="str">
        <x:v>Teleostei</x:v>
      </x:c>
      <x:c r="H87" s="17" t="n">
        <x:v>1</x:v>
      </x:c>
      <x:c r="I87" s="17" t="str">
        <x:v>No</x:v>
      </x:c>
      <x:c r="J87" s="17" t="str">
        <x:v>Genus</x:v>
      </x:c>
      <x:c r="K87" s="52" t="n">
        <x:v>5.39</x:v>
      </x:c>
      <x:c r="L87" s="52" t="n">
        <x:f>IF(K87="","",K87-C87)</x:f>
        <x:v>-1.1100000000000003</x:v>
      </x:c>
      <x:c r="M87" s="52" t="n">
        <x:f>IF(L87="","",ABS(L87))</x:f>
        <x:v>1.1100000000000003</x:v>
      </x:c>
      <x:c r="N87" s="53" t="n">
        <x:f>IF(M87="","",M87/C87*100)</x:f>
        <x:v>17.07692307692308</x:v>
      </x:c>
      <x:c r="O87" s="17" t="str">
        <x:v>Predicted</x:v>
      </x:c>
    </x:row>
    <x:row r="88" ht="15" hidden="0" customHeight="1">
      <x:c r="A88" s="17" t="str">
        <x:v>Spitz et al. 2010</x:v>
      </x:c>
      <x:c r="B88" s="17" t="str">
        <x:v>Lobianchia gemellari</x:v>
      </x:c>
      <x:c r="C88" s="52" t="n">
        <x:v>8.6</x:v>
      </x:c>
      <x:c r="D88" s="17" t="str">
        <x:v>Lobianchia</x:v>
      </x:c>
      <x:c r="E88" s="17" t="str">
        <x:v>Myctophidae</x:v>
      </x:c>
      <x:c r="F88" s="17" t="str">
        <x:v>Mesopelagic forage fishes</x:v>
      </x:c>
      <x:c r="G88" s="17" t="str">
        <x:v>Teleostei</x:v>
      </x:c>
      <x:c r="H88" s="17" t="n">
        <x:v>1</x:v>
      </x:c>
      <x:c r="I88" s="17" t="str">
        <x:v>No</x:v>
      </x:c>
      <x:c r="J88" s="17" t="str">
        <x:v>Family</x:v>
      </x:c>
      <x:c r="K88" s="52" t="n">
        <x:v>7</x:v>
      </x:c>
      <x:c r="L88" s="52" t="n">
        <x:f>IF(K88="","",K88-C88)</x:f>
        <x:v>-1.5999999999999996</x:v>
      </x:c>
      <x:c r="M88" s="52" t="n">
        <x:f>IF(L88="","",ABS(L88))</x:f>
        <x:v>1.5999999999999996</x:v>
      </x:c>
      <x:c r="N88" s="53" t="n">
        <x:f>IF(M88="","",M88/C88*100)</x:f>
        <x:v>18.604651162790695</x:v>
      </x:c>
      <x:c r="O88" s="17" t="str">
        <x:v>Predicted</x:v>
      </x:c>
    </x:row>
    <x:row r="89" ht="15" hidden="0" customHeight="1">
      <x:c r="A89" s="17" t="str">
        <x:v>Spitz et al. 2010</x:v>
      </x:c>
      <x:c r="B89" s="17" t="str">
        <x:v>Loligo forbesi</x:v>
      </x:c>
      <x:c r="C89" s="52" t="n">
        <x:v>4.6</x:v>
      </x:c>
      <x:c r="D89" s="17" t="str">
        <x:v>Loligo</x:v>
      </x:c>
      <x:c r="E89" s="17" t="str">
        <x:v>Loliginidae</x:v>
      </x:c>
      <x:c r="F89" s="17" t="str">
        <x:v>Pelagic squids</x:v>
      </x:c>
      <x:c r="G89" s="17" t="str">
        <x:v>Cephalopoda</x:v>
      </x:c>
      <x:c r="H89" s="17" t="n">
        <x:v>1</x:v>
      </x:c>
      <x:c r="I89" s="17" t="str">
        <x:v>No</x:v>
      </x:c>
      <x:c r="J89" s="17" t="str">
        <x:v>Family</x:v>
      </x:c>
      <x:c r="K89" s="52" t="n">
        <x:v>5.005</x:v>
      </x:c>
      <x:c r="L89" s="52" t="n">
        <x:f>IF(K89="","",K89-C89)</x:f>
        <x:v>0.40500000000000025</x:v>
      </x:c>
      <x:c r="M89" s="52" t="n">
        <x:f>IF(L89="","",ABS(L89))</x:f>
        <x:v>0.40500000000000025</x:v>
      </x:c>
      <x:c r="N89" s="53" t="n">
        <x:f>IF(M89="","",M89/C89*100)</x:f>
        <x:v>8.804347826086962</x:v>
      </x:c>
      <x:c r="O89" s="17" t="str">
        <x:v>Predicted</x:v>
      </x:c>
    </x:row>
    <x:row r="90" ht="15" hidden="0" customHeight="1">
      <x:c r="A90" s="17" t="str">
        <x:v>Spitz et al. 2010</x:v>
      </x:c>
      <x:c r="B90" s="17" t="str">
        <x:v>Loligo vulgaris</x:v>
      </x:c>
      <x:c r="C90" s="52" t="n">
        <x:v>4.8</x:v>
      </x:c>
      <x:c r="D90" s="17" t="str">
        <x:v>Loligo</x:v>
      </x:c>
      <x:c r="E90" s="17" t="str">
        <x:v>Loliginidae</x:v>
      </x:c>
      <x:c r="F90" s="17" t="str">
        <x:v>Pelagic squids</x:v>
      </x:c>
      <x:c r="G90" s="17" t="str">
        <x:v>Cephalopoda</x:v>
      </x:c>
      <x:c r="H90" s="17" t="n">
        <x:v>1</x:v>
      </x:c>
      <x:c r="I90" s="17" t="str">
        <x:v>No</x:v>
      </x:c>
      <x:c r="J90" s="17" t="str">
        <x:v>Family</x:v>
      </x:c>
      <x:c r="K90" s="52" t="n">
        <x:v>5.005</x:v>
      </x:c>
      <x:c r="L90" s="52" t="n">
        <x:f>IF(K90="","",K90-C90)</x:f>
        <x:v>0.20500000000000007</x:v>
      </x:c>
      <x:c r="M90" s="52" t="n">
        <x:f>IF(L90="","",ABS(L90))</x:f>
        <x:v>0.20500000000000007</x:v>
      </x:c>
      <x:c r="N90" s="53" t="n">
        <x:f>IF(M90="","",M90/C90*100)</x:f>
        <x:v>4.270833333333335</x:v>
      </x:c>
      <x:c r="O90" s="17" t="str">
        <x:v>Predicted</x:v>
      </x:c>
    </x:row>
    <x:row r="91" ht="15" hidden="0" customHeight="1">
      <x:c r="A91" s="17" t="str">
        <x:v>Spitz et al. 2010</x:v>
      </x:c>
      <x:c r="B91" s="17" t="str">
        <x:v>Maurolicus muelleri</x:v>
      </x:c>
      <x:c r="C91" s="52" t="n">
        <x:v>4.2</x:v>
      </x:c>
      <x:c r="D91" s="17" t="str">
        <x:v>Maurolicus</x:v>
      </x:c>
      <x:c r="E91" s="17" t="str">
        <x:v>Sternoptychidae</x:v>
      </x:c>
      <x:c r="F91" s="17" t="str">
        <x:v>Mesopelagic forage fishes</x:v>
      </x:c>
      <x:c r="G91" s="17" t="str">
        <x:v>Teleostei</x:v>
      </x:c>
      <x:c r="H91" s="17" t="n">
        <x:v>1</x:v>
      </x:c>
      <x:c r="I91" s="17" t="str">
        <x:v>No</x:v>
      </x:c>
      <x:c r="J91" s="17" t="str">
        <x:v>Broad</x:v>
      </x:c>
      <x:c r="K91" s="52" t="n">
        <x:v>5.74</x:v>
      </x:c>
      <x:c r="L91" s="52" t="n">
        <x:f>IF(K91="","",K91-C91)</x:f>
        <x:v>1.54</x:v>
      </x:c>
      <x:c r="M91" s="52" t="n">
        <x:f>IF(L91="","",ABS(L91))</x:f>
        <x:v>1.54</x:v>
      </x:c>
      <x:c r="N91" s="53" t="n">
        <x:f>IF(M91="","",M91/C91*100)</x:f>
        <x:v>36.666666666666664</x:v>
      </x:c>
      <x:c r="O91" s="17" t="str">
        <x:v>Predicted</x:v>
      </x:c>
    </x:row>
    <x:row r="92" ht="15" hidden="0" customHeight="1">
      <x:c r="A92" s="17" t="str">
        <x:v>Spitz et al. 2010</x:v>
      </x:c>
      <x:c r="B92" s="17" t="str">
        <x:v>Meganyctiphanes norvegica</x:v>
      </x:c>
      <x:c r="C92" s="52" t="n">
        <x:v>3.9</x:v>
      </x:c>
      <x:c r="D92" s="17" t="str">
        <x:v>Meganyctiphanes</x:v>
      </x:c>
      <x:c r="E92" s="17" t="str">
        <x:v>Euphausiidae</x:v>
      </x:c>
      <x:c r="F92" s="17" t="str">
        <x:v>Pelagic planktonic euphausiids</x:v>
      </x:c>
      <x:c r="G92" s="17" t="str">
        <x:v>Crustacea</x:v>
      </x:c>
      <x:c r="H92" s="17" t="n">
        <x:v>1</x:v>
      </x:c>
      <x:c r="I92" s="17" t="str">
        <x:v>No</x:v>
      </x:c>
      <x:c r="J92" s="17" t="str">
        <x:v>Family</x:v>
      </x:c>
      <x:c r="K92" s="52" t="n">
        <x:v>3.73</x:v>
      </x:c>
      <x:c r="L92" s="52" t="n">
        <x:f>IF(K92="","",K92-C92)</x:f>
        <x:v>-0.16999999999999993</x:v>
      </x:c>
      <x:c r="M92" s="52" t="n">
        <x:f>IF(L92="","",ABS(L92))</x:f>
        <x:v>0.16999999999999993</x:v>
      </x:c>
      <x:c r="N92" s="53" t="n">
        <x:f>IF(M92="","",M92/C92*100)</x:f>
        <x:v>4.358974358974358</x:v>
      </x:c>
      <x:c r="O92" s="17" t="str">
        <x:v>Predicted</x:v>
      </x:c>
    </x:row>
    <x:row r="93" ht="15" hidden="0" customHeight="1">
      <x:c r="A93" s="17" t="str">
        <x:v>Spitz et al. 2010</x:v>
      </x:c>
      <x:c r="B93" s="17" t="str">
        <x:v>Merlangius merlangus</x:v>
      </x:c>
      <x:c r="C93" s="52" t="n">
        <x:v>3.9</x:v>
      </x:c>
      <x:c r="D93" s="17" t="str">
        <x:v>Merlangius</x:v>
      </x:c>
      <x:c r="E93" s="17" t="str">
        <x:v>Gadidae</x:v>
      </x:c>
      <x:c r="F93" s="17" t="str">
        <x:v>Other demersal fishes</x:v>
      </x:c>
      <x:c r="G93" s="17" t="str">
        <x:v>Teleostei</x:v>
      </x:c>
      <x:c r="H93" s="17" t="n">
        <x:v>1</x:v>
      </x:c>
      <x:c r="I93" s="17" t="str">
        <x:v>No</x:v>
      </x:c>
      <x:c r="J93" s="17" t="str">
        <x:v>Ecological proxy</x:v>
      </x:c>
      <x:c r="K93" s="52" t="n">
        <x:v>5.2</x:v>
      </x:c>
      <x:c r="L93" s="52" t="n">
        <x:f>IF(K93="","",K93-C93)</x:f>
        <x:v>1.3000000000000003</x:v>
      </x:c>
      <x:c r="M93" s="52" t="n">
        <x:f>IF(L93="","",ABS(L93))</x:f>
        <x:v>1.3000000000000003</x:v>
      </x:c>
      <x:c r="N93" s="53" t="n">
        <x:f>IF(M93="","",M93/C93*100)</x:f>
        <x:v>33.33333333333334</x:v>
      </x:c>
      <x:c r="O93" s="17" t="str">
        <x:v>Predicted</x:v>
      </x:c>
    </x:row>
    <x:row r="94" ht="15" hidden="0" customHeight="1">
      <x:c r="A94" s="17" t="str">
        <x:v>Spitz et al. 2010</x:v>
      </x:c>
      <x:c r="B94" s="17" t="str">
        <x:v>Merluccius merluccius</x:v>
      </x:c>
      <x:c r="C94" s="52" t="n">
        <x:v>3.7</x:v>
      </x:c>
      <x:c r="D94" s="17" t="str">
        <x:v>Merluccius</x:v>
      </x:c>
      <x:c r="E94" s="17" t="str">
        <x:v>Merlucciidae</x:v>
      </x:c>
      <x:c r="F94" s="17" t="str">
        <x:v>Other demersal fishes</x:v>
      </x:c>
      <x:c r="G94" s="17" t="str">
        <x:v>Teleostei</x:v>
      </x:c>
      <x:c r="H94" s="17" t="n">
        <x:v>1</x:v>
      </x:c>
      <x:c r="I94" s="17" t="str">
        <x:v>No</x:v>
      </x:c>
      <x:c r="J94" s="17" t="str">
        <x:v>Genus</x:v>
      </x:c>
      <x:c r="K94" s="52" t="n">
        <x:v>4.28</x:v>
      </x:c>
      <x:c r="L94" s="52" t="n">
        <x:f>IF(K94="","",K94-C94)</x:f>
        <x:v>0.5800000000000001</x:v>
      </x:c>
      <x:c r="M94" s="52" t="n">
        <x:f>IF(L94="","",ABS(L94))</x:f>
        <x:v>0.5800000000000001</x:v>
      </x:c>
      <x:c r="N94" s="53" t="n">
        <x:f>IF(M94="","",M94/C94*100)</x:f>
        <x:v>15.675675675675677</x:v>
      </x:c>
      <x:c r="O94" s="17" t="str">
        <x:v>Predicted</x:v>
      </x:c>
    </x:row>
    <x:row r="95" ht="15" hidden="0" customHeight="1">
      <x:c r="A95" s="17" t="str">
        <x:v>Spitz et al. 2010</x:v>
      </x:c>
      <x:c r="B95" s="17" t="str">
        <x:v>Micromesistius poutassou</x:v>
      </x:c>
      <x:c r="C95" s="52" t="n">
        <x:v>4.4</x:v>
      </x:c>
      <x:c r="D95" s="17" t="str">
        <x:v>Micromesistius</x:v>
      </x:c>
      <x:c r="E95" s="17" t="str">
        <x:v>Gadidae</x:v>
      </x:c>
      <x:c r="F95" s="17" t="str">
        <x:v>Other demersal fishes</x:v>
      </x:c>
      <x:c r="G95" s="17" t="str">
        <x:v>Teleostei</x:v>
      </x:c>
      <x:c r="H95" s="17" t="n">
        <x:v>1</x:v>
      </x:c>
      <x:c r="I95" s="17" t="str">
        <x:v>No</x:v>
      </x:c>
      <x:c r="J95" s="17" t="str">
        <x:v>Ecological proxy</x:v>
      </x:c>
      <x:c r="K95" s="52" t="n">
        <x:v>5.2</x:v>
      </x:c>
      <x:c r="L95" s="52" t="n">
        <x:f>IF(K95="","",K95-C95)</x:f>
        <x:v>0.7999999999999998</x:v>
      </x:c>
      <x:c r="M95" s="52" t="n">
        <x:f>IF(L95="","",ABS(L95))</x:f>
        <x:v>0.7999999999999998</x:v>
      </x:c>
      <x:c r="N95" s="53" t="n">
        <x:f>IF(M95="","",M95/C95*100)</x:f>
        <x:v>18.181818181818176</x:v>
      </x:c>
      <x:c r="O95" s="17" t="str">
        <x:v>Predicted</x:v>
      </x:c>
    </x:row>
    <x:row r="96" ht="15" hidden="0" customHeight="1">
      <x:c r="A96" s="17" t="str">
        <x:v>Spitz et al. 2010</x:v>
      </x:c>
      <x:c r="B96" s="17" t="str">
        <x:v>Microstomus kitt</x:v>
      </x:c>
      <x:c r="C96" s="52" t="n">
        <x:v>5.8</x:v>
      </x:c>
      <x:c r="D96" s="17" t="str">
        <x:v>Microstomus</x:v>
      </x:c>
      <x:c r="E96" s="17" t="str">
        <x:v>Pleuronectidae</x:v>
      </x:c>
      <x:c r="F96" s="17" t="str">
        <x:v>Demersal flatfishes</x:v>
      </x:c>
      <x:c r="G96" s="17" t="str">
        <x:v>Teleostei</x:v>
      </x:c>
      <x:c r="H96" s="17" t="n">
        <x:v>1</x:v>
      </x:c>
      <x:c r="I96" s="17" t="str">
        <x:v>No</x:v>
      </x:c>
      <x:c r="J96" s="17" t="str">
        <x:v>Family</x:v>
      </x:c>
      <x:c r="K96" s="52" t="n">
        <x:v>4.855</x:v>
      </x:c>
      <x:c r="L96" s="52" t="n">
        <x:f>IF(K96="","",K96-C96)</x:f>
        <x:v>-0.9449999999999994</x:v>
      </x:c>
      <x:c r="M96" s="52" t="n">
        <x:f>IF(L96="","",ABS(L96))</x:f>
        <x:v>0.9449999999999994</x:v>
      </x:c>
      <x:c r="N96" s="53" t="n">
        <x:f>IF(M96="","",M96/C96*100)</x:f>
        <x:v>16.293103448275854</x:v>
      </x:c>
      <x:c r="O96" s="17" t="str">
        <x:v>Predicted</x:v>
      </x:c>
    </x:row>
    <x:row r="97" ht="15" hidden="0" customHeight="1">
      <x:c r="A97" s="17" t="str">
        <x:v>Spitz et al. 2010</x:v>
      </x:c>
      <x:c r="B97" s="17" t="str">
        <x:v>Mullus surmuletus</x:v>
      </x:c>
      <x:c r="C97" s="52" t="n">
        <x:v>6.4</x:v>
      </x:c>
      <x:c r="D97" s="17" t="str">
        <x:v>Mullus</x:v>
      </x:c>
      <x:c r="E97" s="17" t="str">
        <x:v>Mullidae</x:v>
      </x:c>
      <x:c r="F97" s="17" t="str">
        <x:v>Unclassified teleosts</x:v>
      </x:c>
      <x:c r="G97" s="17" t="str">
        <x:v>Teleostei</x:v>
      </x:c>
      <x:c r="H97" s="17" t="n">
        <x:v>1</x:v>
      </x:c>
      <x:c r="I97" s="17" t="str">
        <x:v>No</x:v>
      </x:c>
      <x:c r="J97" s="17" t="str">
        <x:v>Ecological proxy</x:v>
      </x:c>
      <x:c r="K97" s="52" t="n">
        <x:v>4.92</x:v>
      </x:c>
      <x:c r="L97" s="52" t="n">
        <x:f>IF(K97="","",K97-C97)</x:f>
        <x:v>-1.4800000000000004</x:v>
      </x:c>
      <x:c r="M97" s="52" t="n">
        <x:f>IF(L97="","",ABS(L97))</x:f>
        <x:v>1.4800000000000004</x:v>
      </x:c>
      <x:c r="N97" s="53" t="n">
        <x:f>IF(M97="","",M97/C97*100)</x:f>
        <x:v>23.125000000000007</x:v>
      </x:c>
      <x:c r="O97" s="17" t="str">
        <x:v>Predicted</x:v>
      </x:c>
    </x:row>
    <x:row r="98" ht="15" hidden="0" customHeight="1">
      <x:c r="A98" s="17" t="str">
        <x:v>Spitz et al. 2010</x:v>
      </x:c>
      <x:c r="B98" s="17" t="str">
        <x:v>Necora puber</x:v>
      </x:c>
      <x:c r="C98" s="52" t="n">
        <x:v>6.9</x:v>
      </x:c>
      <x:c r="D98" s="17" t="str">
        <x:v>Necora</x:v>
      </x:c>
      <x:c r="E98" s="17" t="str">
        <x:v>Portunidae</x:v>
      </x:c>
      <x:c r="F98" s="17" t="str">
        <x:v>Benthic decapods</x:v>
      </x:c>
      <x:c r="G98" s="17" t="str">
        <x:v>Crustacea</x:v>
      </x:c>
      <x:c r="H98" s="17" t="n">
        <x:v>1</x:v>
      </x:c>
      <x:c r="I98" s="17" t="str">
        <x:v>No</x:v>
      </x:c>
      <x:c r="J98" s="17" t="str">
        <x:v>Ecological proxy</x:v>
      </x:c>
      <x:c r="K98" s="52" t="n">
        <x:v>3.07</x:v>
      </x:c>
      <x:c r="L98" s="52" t="n">
        <x:f>IF(K98="","",K98-C98)</x:f>
        <x:v>-3.8300000000000005</x:v>
      </x:c>
      <x:c r="M98" s="52" t="n">
        <x:f>IF(L98="","",ABS(L98))</x:f>
        <x:v>3.8300000000000005</x:v>
      </x:c>
      <x:c r="N98" s="53" t="n">
        <x:f>IF(M98="","",M98/C98*100)</x:f>
        <x:v>55.5072463768116</x:v>
      </x:c>
      <x:c r="O98" s="17" t="str">
        <x:v>Predicted</x:v>
      </x:c>
    </x:row>
    <x:row r="99" ht="15" hidden="0" customHeight="1">
      <x:c r="A99" s="17" t="str">
        <x:v>Spitz et al. 2010</x:v>
      </x:c>
      <x:c r="B99" s="17" t="str">
        <x:v>Normichthys operosa</x:v>
      </x:c>
      <x:c r="C99" s="52" t="n">
        <x:v>2.6</x:v>
      </x:c>
      <x:c r="D99" s="17" t="str">
        <x:v>Normichthys</x:v>
      </x:c>
      <x:c r="E99" s="17" t="str">
        <x:v>Platytroctidae</x:v>
      </x:c>
      <x:c r="F99" s="17" t="str">
        <x:v>Unclassified teleosts</x:v>
      </x:c>
      <x:c r="G99" s="17" t="str">
        <x:v>Teleostei</x:v>
      </x:c>
      <x:c r="H99" s="17" t="n">
        <x:v>1</x:v>
      </x:c>
      <x:c r="I99" s="17" t="str">
        <x:v>No</x:v>
      </x:c>
      <x:c r="J99" s="17" t="str">
        <x:v>Ecological proxy</x:v>
      </x:c>
      <x:c r="K99" s="52" t="n">
        <x:v>4.92</x:v>
      </x:c>
      <x:c r="L99" s="52" t="n">
        <x:f>IF(K99="","",K99-C99)</x:f>
        <x:v>2.32</x:v>
      </x:c>
      <x:c r="M99" s="52" t="n">
        <x:f>IF(L99="","",ABS(L99))</x:f>
        <x:v>2.32</x:v>
      </x:c>
      <x:c r="N99" s="53" t="n">
        <x:f>IF(M99="","",M99/C99*100)</x:f>
        <x:v>89.23076923076923</x:v>
      </x:c>
      <x:c r="O99" s="17" t="str">
        <x:v>Predicted</x:v>
      </x:c>
    </x:row>
    <x:row r="100" ht="15" hidden="0" customHeight="1">
      <x:c r="A100" s="17" t="str">
        <x:v>Spitz et al. 2010</x:v>
      </x:c>
      <x:c r="B100" s="17" t="str">
        <x:v>Notoscopelus kroyeri</x:v>
      </x:c>
      <x:c r="C100" s="52" t="n">
        <x:v>7.9</x:v>
      </x:c>
      <x:c r="D100" s="17" t="str">
        <x:v>Notoscopelus</x:v>
      </x:c>
      <x:c r="E100" s="17" t="str">
        <x:v>Myctophidae</x:v>
      </x:c>
      <x:c r="F100" s="17" t="str">
        <x:v>Mesopelagic forage fishes</x:v>
      </x:c>
      <x:c r="G100" s="17" t="str">
        <x:v>Teleostei</x:v>
      </x:c>
      <x:c r="H100" s="17" t="n">
        <x:v>1</x:v>
      </x:c>
      <x:c r="I100" s="17" t="str">
        <x:v>No</x:v>
      </x:c>
      <x:c r="J100" s="17" t="str">
        <x:v>Family</x:v>
      </x:c>
      <x:c r="K100" s="52" t="n">
        <x:v>7</x:v>
      </x:c>
      <x:c r="L100" s="52" t="n">
        <x:f>IF(K100="","",K100-C100)</x:f>
        <x:v>-0.9000000000000004</x:v>
      </x:c>
      <x:c r="M100" s="52" t="n">
        <x:f>IF(L100="","",ABS(L100))</x:f>
        <x:v>0.9000000000000004</x:v>
      </x:c>
      <x:c r="N100" s="53" t="n">
        <x:f>IF(M100="","",M100/C100*100)</x:f>
        <x:v>11.392405063291143</x:v>
      </x:c>
      <x:c r="O100" s="17" t="str">
        <x:v>Predicted</x:v>
      </x:c>
    </x:row>
    <x:row r="101" ht="15" hidden="0" customHeight="1">
      <x:c r="A101" s="17" t="str">
        <x:v>Spitz et al. 2010</x:v>
      </x:c>
      <x:c r="B101" s="17" t="str">
        <x:v>Pachygrapsus marmoratus</x:v>
      </x:c>
      <x:c r="C101" s="52" t="n">
        <x:v>5.8</x:v>
      </x:c>
      <x:c r="D101" s="17" t="str">
        <x:v>Pachygrapsus</x:v>
      </x:c>
      <x:c r="E101" s="17" t="str">
        <x:v>Grapsidae</x:v>
      </x:c>
      <x:c r="F101" s="17" t="str">
        <x:v>Benthic decapods</x:v>
      </x:c>
      <x:c r="G101" s="17" t="str">
        <x:v>Crustacea</x:v>
      </x:c>
      <x:c r="H101" s="17" t="n">
        <x:v>1</x:v>
      </x:c>
      <x:c r="I101" s="17" t="str">
        <x:v>No</x:v>
      </x:c>
      <x:c r="J101" s="17" t="str">
        <x:v>Ecological proxy</x:v>
      </x:c>
      <x:c r="K101" s="52" t="n">
        <x:v>3.07</x:v>
      </x:c>
      <x:c r="L101" s="52" t="n">
        <x:f>IF(K101="","",K101-C101)</x:f>
        <x:v>-2.73</x:v>
      </x:c>
      <x:c r="M101" s="52" t="n">
        <x:f>IF(L101="","",ABS(L101))</x:f>
        <x:v>2.73</x:v>
      </x:c>
      <x:c r="N101" s="53" t="n">
        <x:f>IF(M101="","",M101/C101*100)</x:f>
        <x:v>47.06896551724138</x:v>
      </x:c>
      <x:c r="O101" s="17" t="str">
        <x:v>Predicted</x:v>
      </x:c>
    </x:row>
    <x:row r="102" ht="15" hidden="0" customHeight="1">
      <x:c r="A102" s="17" t="str">
        <x:v>Spitz et al. 2010</x:v>
      </x:c>
      <x:c r="B102" s="17" t="str">
        <x:v>Pagellus acarne</x:v>
      </x:c>
      <x:c r="C102" s="52" t="n">
        <x:v>9.4</x:v>
      </x:c>
      <x:c r="D102" s="17" t="str">
        <x:v>Pagellus</x:v>
      </x:c>
      <x:c r="E102" s="17" t="str">
        <x:v>Sparidae</x:v>
      </x:c>
      <x:c r="F102" s="17" t="str">
        <x:v>Unclassified teleosts</x:v>
      </x:c>
      <x:c r="G102" s="17" t="str">
        <x:v>Teleostei</x:v>
      </x:c>
      <x:c r="H102" s="17" t="n">
        <x:v>1</x:v>
      </x:c>
      <x:c r="I102" s="17" t="str">
        <x:v>No</x:v>
      </x:c>
      <x:c r="J102" s="17" t="str">
        <x:v>Family</x:v>
      </x:c>
      <x:c r="K102" s="52" t="n">
        <x:v>5.859999999999999</x:v>
      </x:c>
      <x:c r="L102" s="52" t="n">
        <x:f>IF(K102="","",K102-C102)</x:f>
        <x:v>-3.540000000000001</x:v>
      </x:c>
      <x:c r="M102" s="52" t="n">
        <x:f>IF(L102="","",ABS(L102))</x:f>
        <x:v>3.540000000000001</x:v>
      </x:c>
      <x:c r="N102" s="53" t="n">
        <x:f>IF(M102="","",M102/C102*100)</x:f>
        <x:v>37.65957446808512</x:v>
      </x:c>
      <x:c r="O102" s="17" t="str">
        <x:v>Predicted</x:v>
      </x:c>
    </x:row>
    <x:row r="103" ht="15" hidden="0" customHeight="1">
      <x:c r="A103" s="17" t="str">
        <x:v>Spitz et al. 2010</x:v>
      </x:c>
      <x:c r="B103" s="17" t="str">
        <x:v>Palaemon longirostris</x:v>
      </x:c>
      <x:c r="C103" s="52" t="n">
        <x:v>3.4</x:v>
      </x:c>
      <x:c r="D103" s="17" t="str">
        <x:v>Palaemon</x:v>
      </x:c>
      <x:c r="E103" s="17" t="str">
        <x:v>Palaemonidae</x:v>
      </x:c>
      <x:c r="F103" s="17" t="str">
        <x:v>Decapods (ecology unspecified)</x:v>
      </x:c>
      <x:c r="G103" s="17" t="str">
        <x:v>Crustacea</x:v>
      </x:c>
      <x:c r="H103" s="17" t="n">
        <x:v>1</x:v>
      </x:c>
      <x:c r="I103" s="17" t="str">
        <x:v>No</x:v>
      </x:c>
      <x:c r="J103" s="17" t="str">
        <x:v>Ecological proxy</x:v>
      </x:c>
      <x:c r="K103" s="52" t="n">
        <x:v>3.84</x:v>
      </x:c>
      <x:c r="L103" s="52" t="n">
        <x:f>IF(K103="","",K103-C103)</x:f>
        <x:v>0.43999999999999995</x:v>
      </x:c>
      <x:c r="M103" s="52" t="n">
        <x:f>IF(L103="","",ABS(L103))</x:f>
        <x:v>0.43999999999999995</x:v>
      </x:c>
      <x:c r="N103" s="53" t="n">
        <x:f>IF(M103="","",M103/C103*100)</x:f>
        <x:v>12.941176470588234</x:v>
      </x:c>
      <x:c r="O103" s="17" t="str">
        <x:v>Predicted</x:v>
      </x:c>
    </x:row>
    <x:row r="104" ht="15" hidden="0" customHeight="1">
      <x:c r="A104" s="17" t="str">
        <x:v>Spitz et al. 2010</x:v>
      </x:c>
      <x:c r="B104" s="17" t="str">
        <x:v>Paralipophrys trigloides</x:v>
      </x:c>
      <x:c r="C104" s="52" t="n">
        <x:v>5.5</x:v>
      </x:c>
      <x:c r="D104" s="17" t="str">
        <x:v>Paralipophrys</x:v>
      </x:c>
      <x:c r="E104" s="17" t="str">
        <x:v>Blenniidae</x:v>
      </x:c>
      <x:c r="F104" s="17" t="str">
        <x:v>Unclassified teleosts</x:v>
      </x:c>
      <x:c r="G104" s="17" t="str">
        <x:v>Teleostei</x:v>
      </x:c>
      <x:c r="H104" s="17" t="n">
        <x:v>1</x:v>
      </x:c>
      <x:c r="I104" s="17" t="str">
        <x:v>No</x:v>
      </x:c>
      <x:c r="J104" s="17" t="str">
        <x:v>Ecological proxy</x:v>
      </x:c>
      <x:c r="K104" s="52" t="n">
        <x:v>4.92</x:v>
      </x:c>
      <x:c r="L104" s="52" t="n">
        <x:f>IF(K104="","",K104-C104)</x:f>
        <x:v>-0.5800000000000001</x:v>
      </x:c>
      <x:c r="M104" s="52" t="n">
        <x:f>IF(L104="","",ABS(L104))</x:f>
        <x:v>0.5800000000000001</x:v>
      </x:c>
      <x:c r="N104" s="53" t="n">
        <x:f>IF(M104="","",M104/C104*100)</x:f>
        <x:v>10.545454545454547</x:v>
      </x:c>
      <x:c r="O104" s="17" t="str">
        <x:v>Predicted</x:v>
      </x:c>
    </x:row>
    <x:row r="105" ht="15" hidden="0" customHeight="1">
      <x:c r="A105" s="17" t="str">
        <x:v>Spitz et al. 2010</x:v>
      </x:c>
      <x:c r="B105" s="17" t="str">
        <x:v>Pasiphaea sivado</x:v>
      </x:c>
      <x:c r="C105" s="52" t="n">
        <x:v>4.1</x:v>
      </x:c>
      <x:c r="D105" s="17" t="str">
        <x:v>Pasiphaea</x:v>
      </x:c>
      <x:c r="E105" s="17" t="str">
        <x:v>Pasiphaeidae</x:v>
      </x:c>
      <x:c r="F105" s="17" t="str">
        <x:v>Decapods (ecology unspecified)</x:v>
      </x:c>
      <x:c r="G105" s="17" t="str">
        <x:v>Crustacea</x:v>
      </x:c>
      <x:c r="H105" s="17" t="n">
        <x:v>1</x:v>
      </x:c>
      <x:c r="I105" s="17" t="str">
        <x:v>No</x:v>
      </x:c>
      <x:c r="J105" s="17" t="str">
        <x:v>Ecological proxy</x:v>
      </x:c>
      <x:c r="K105" s="52" t="n">
        <x:v>3.84</x:v>
      </x:c>
      <x:c r="L105" s="52" t="n">
        <x:f>IF(K105="","",K105-C105)</x:f>
        <x:v>-0.2599999999999998</x:v>
      </x:c>
      <x:c r="M105" s="52" t="n">
        <x:f>IF(L105="","",ABS(L105))</x:f>
        <x:v>0.2599999999999998</x:v>
      </x:c>
      <x:c r="N105" s="53" t="n">
        <x:f>IF(M105="","",M105/C105*100)</x:f>
        <x:v>6.341463414634142</x:v>
      </x:c>
      <x:c r="O105" s="17" t="str">
        <x:v>Predicted</x:v>
      </x:c>
    </x:row>
    <x:row r="106" ht="15" hidden="0" customHeight="1">
      <x:c r="A106" s="17" t="str">
        <x:v>Spitz et al. 2010</x:v>
      </x:c>
      <x:c r="B106" s="17" t="str">
        <x:v>Phycis blennoides</x:v>
      </x:c>
      <x:c r="C106" s="52" t="n">
        <x:v>5</x:v>
      </x:c>
      <x:c r="D106" s="17" t="str">
        <x:v>Phycis</x:v>
      </x:c>
      <x:c r="E106" s="17" t="str">
        <x:v>Phycidae</x:v>
      </x:c>
      <x:c r="F106" s="17" t="str">
        <x:v>Unclassified teleosts</x:v>
      </x:c>
      <x:c r="G106" s="17" t="str">
        <x:v>Teleostei</x:v>
      </x:c>
      <x:c r="H106" s="17" t="n">
        <x:v>1</x:v>
      </x:c>
      <x:c r="I106" s="17" t="str">
        <x:v>No</x:v>
      </x:c>
      <x:c r="J106" s="17" t="str">
        <x:v>Ecological proxy</x:v>
      </x:c>
      <x:c r="K106" s="52" t="n">
        <x:v>4.92</x:v>
      </x:c>
      <x:c r="L106" s="52" t="n">
        <x:f>IF(K106="","",K106-C106)</x:f>
        <x:v>-0.08000000000000007</x:v>
      </x:c>
      <x:c r="M106" s="52" t="n">
        <x:f>IF(L106="","",ABS(L106))</x:f>
        <x:v>0.08000000000000007</x:v>
      </x:c>
      <x:c r="N106" s="53" t="n">
        <x:f>IF(M106="","",M106/C106*100)</x:f>
        <x:v>1.6000000000000014</x:v>
      </x:c>
      <x:c r="O106" s="17" t="str">
        <x:v>Predicted</x:v>
      </x:c>
    </x:row>
    <x:row r="107" ht="15" hidden="0" customHeight="1">
      <x:c r="A107" s="17" t="str">
        <x:v>Spitz et al. 2010</x:v>
      </x:c>
      <x:c r="B107" s="17" t="str">
        <x:v>Pleuronectes platessa</x:v>
      </x:c>
      <x:c r="C107" s="52" t="n">
        <x:v>5.8</x:v>
      </x:c>
      <x:c r="D107" s="17" t="str">
        <x:v>Pleuronectes</x:v>
      </x:c>
      <x:c r="E107" s="17" t="str">
        <x:v>Pleuronectidae</x:v>
      </x:c>
      <x:c r="F107" s="17" t="str">
        <x:v>Demersal flatfishes</x:v>
      </x:c>
      <x:c r="G107" s="17" t="str">
        <x:v>Teleostei</x:v>
      </x:c>
      <x:c r="H107" s="17" t="n">
        <x:v>1</x:v>
      </x:c>
      <x:c r="I107" s="17" t="str">
        <x:v>No</x:v>
      </x:c>
      <x:c r="J107" s="17" t="str">
        <x:v>Family</x:v>
      </x:c>
      <x:c r="K107" s="52" t="n">
        <x:v>4.855</x:v>
      </x:c>
      <x:c r="L107" s="52" t="n">
        <x:f>IF(K107="","",K107-C107)</x:f>
        <x:v>-0.9449999999999994</x:v>
      </x:c>
      <x:c r="M107" s="52" t="n">
        <x:f>IF(L107="","",ABS(L107))</x:f>
        <x:v>0.9449999999999994</x:v>
      </x:c>
      <x:c r="N107" s="53" t="n">
        <x:f>IF(M107="","",M107/C107*100)</x:f>
        <x:v>16.293103448275854</x:v>
      </x:c>
      <x:c r="O107" s="17" t="str">
        <x:v>Predicted</x:v>
      </x:c>
    </x:row>
    <x:row r="108" ht="15" hidden="0" customHeight="1">
      <x:c r="A108" s="17" t="str">
        <x:v>Spitz et al. 2010</x:v>
      </x:c>
      <x:c r="B108" s="17" t="str">
        <x:v>Pollachius pollachius</x:v>
      </x:c>
      <x:c r="C108" s="52" t="n">
        <x:v>4.2</x:v>
      </x:c>
      <x:c r="D108" s="17" t="str">
        <x:v>Pollachius</x:v>
      </x:c>
      <x:c r="E108" s="17" t="str">
        <x:v>Gadidae</x:v>
      </x:c>
      <x:c r="F108" s="17" t="str">
        <x:v>Other demersal fishes</x:v>
      </x:c>
      <x:c r="G108" s="17" t="str">
        <x:v>Teleostei</x:v>
      </x:c>
      <x:c r="H108" s="17" t="n">
        <x:v>1</x:v>
      </x:c>
      <x:c r="I108" s="17" t="str">
        <x:v>No</x:v>
      </x:c>
      <x:c r="J108" s="17" t="str">
        <x:v>Ecological proxy</x:v>
      </x:c>
      <x:c r="K108" s="52" t="n">
        <x:v>5.2</x:v>
      </x:c>
      <x:c r="L108" s="52" t="n">
        <x:f>IF(K108="","",K108-C108)</x:f>
        <x:v>1</x:v>
      </x:c>
      <x:c r="M108" s="52" t="n">
        <x:f>IF(L108="","",ABS(L108))</x:f>
        <x:v>1</x:v>
      </x:c>
      <x:c r="N108" s="53" t="n">
        <x:f>IF(M108="","",M108/C108*100)</x:f>
        <x:v>23.809523809523807</x:v>
      </x:c>
      <x:c r="O108" s="17" t="str">
        <x:v>Predicted</x:v>
      </x:c>
    </x:row>
    <x:row r="109" ht="15" hidden="0" customHeight="1">
      <x:c r="A109" s="17" t="str">
        <x:v>Spitz et al. 2010</x:v>
      </x:c>
      <x:c r="B109" s="17" t="str">
        <x:v>Polybius henslowii</x:v>
      </x:c>
      <x:c r="C109" s="52" t="n">
        <x:v>4.2</x:v>
      </x:c>
      <x:c r="D109" s="17" t="str">
        <x:v>Polybius</x:v>
      </x:c>
      <x:c r="E109" s="17" t="str">
        <x:v>Portunidae</x:v>
      </x:c>
      <x:c r="F109" s="17" t="str">
        <x:v>Benthic decapods</x:v>
      </x:c>
      <x:c r="G109" s="17" t="str">
        <x:v>Crustacea</x:v>
      </x:c>
      <x:c r="H109" s="17" t="n">
        <x:v>1</x:v>
      </x:c>
      <x:c r="I109" s="17" t="str">
        <x:v>No</x:v>
      </x:c>
      <x:c r="J109" s="17" t="str">
        <x:v>Ecological proxy</x:v>
      </x:c>
      <x:c r="K109" s="52" t="n">
        <x:v>3.07</x:v>
      </x:c>
      <x:c r="L109" s="52" t="n">
        <x:f>IF(K109="","",K109-C109)</x:f>
        <x:v>-1.1300000000000003</x:v>
      </x:c>
      <x:c r="M109" s="52" t="n">
        <x:f>IF(L109="","",ABS(L109))</x:f>
        <x:v>1.1300000000000003</x:v>
      </x:c>
      <x:c r="N109" s="53" t="n">
        <x:f>IF(M109="","",M109/C109*100)</x:f>
        <x:v>26.90476190476191</x:v>
      </x:c>
      <x:c r="O109" s="17" t="str">
        <x:v>Predicted</x:v>
      </x:c>
    </x:row>
    <x:row r="110" ht="15" hidden="0" customHeight="1">
      <x:c r="A110" s="17" t="str">
        <x:v>Spitz et al. 2010</x:v>
      </x:c>
      <x:c r="B110" s="17" t="str">
        <x:v>Sardina pilchardus</x:v>
      </x:c>
      <x:c r="C110" s="52" t="n">
        <x:v>8.7</x:v>
      </x:c>
      <x:c r="D110" s="17" t="str">
        <x:v>Sardina</x:v>
      </x:c>
      <x:c r="E110" s="17" t="str">
        <x:v>Clupeidae</x:v>
      </x:c>
      <x:c r="F110" s="17" t="str">
        <x:v>Small pelagic forage fishes</x:v>
      </x:c>
      <x:c r="G110" s="17" t="str">
        <x:v>Teleostei</x:v>
      </x:c>
      <x:c r="H110" s="17" t="n">
        <x:v>1</x:v>
      </x:c>
      <x:c r="I110" s="17" t="str">
        <x:v>No</x:v>
      </x:c>
      <x:c r="J110" s="17" t="str">
        <x:v>Family</x:v>
      </x:c>
      <x:c r="K110" s="52" t="n">
        <x:v>6.75</x:v>
      </x:c>
      <x:c r="L110" s="52" t="n">
        <x:f>IF(K110="","",K110-C110)</x:f>
        <x:v>-1.9499999999999993</x:v>
      </x:c>
      <x:c r="M110" s="52" t="n">
        <x:f>IF(L110="","",ABS(L110))</x:f>
        <x:v>1.9499999999999993</x:v>
      </x:c>
      <x:c r="N110" s="53" t="n">
        <x:f>IF(M110="","",M110/C110*100)</x:f>
        <x:v>22.41379310344827</x:v>
      </x:c>
      <x:c r="O110" s="17" t="str">
        <x:v>Predicted</x:v>
      </x:c>
    </x:row>
    <x:row r="111" ht="15" hidden="0" customHeight="1">
      <x:c r="A111" s="17" t="str">
        <x:v>Spitz et al. 2010</x:v>
      </x:c>
      <x:c r="B111" s="17" t="str">
        <x:v>Scomber scombrus</x:v>
      </x:c>
      <x:c r="C111" s="52" t="n">
        <x:v>7.9</x:v>
      </x:c>
      <x:c r="D111" s="17" t="str">
        <x:v>Scomber</x:v>
      </x:c>
      <x:c r="E111" s="17" t="str">
        <x:v>Scombridae</x:v>
      </x:c>
      <x:c r="F111" s="17" t="str">
        <x:v>Small pelagic forage fishes</x:v>
      </x:c>
      <x:c r="G111" s="17" t="str">
        <x:v>Teleostei</x:v>
      </x:c>
      <x:c r="H111" s="17" t="n">
        <x:v>1</x:v>
      </x:c>
      <x:c r="I111" s="17" t="str">
        <x:v>Yes</x:v>
      </x:c>
      <x:c r="J111" s="17" t="str">
        <x:v>Exact taxon</x:v>
      </x:c>
      <x:c r="K111" s="52" t="n">
        <x:v>5.73</x:v>
      </x:c>
      <x:c r="L111" s="52" t="n">
        <x:f>IF(K111="","",K111-C111)</x:f>
        <x:v>-2.17</x:v>
      </x:c>
      <x:c r="M111" s="52" t="n">
        <x:f>IF(L111="","",ABS(L111))</x:f>
        <x:v>2.17</x:v>
      </x:c>
      <x:c r="N111" s="53" t="n">
        <x:f>IF(M111="","",M111/C111*100)</x:f>
        <x:v>27.468354430379744</x:v>
      </x:c>
      <x:c r="O111" s="17" t="str">
        <x:v>Predicted</x:v>
      </x:c>
    </x:row>
    <x:row r="112" ht="15" hidden="0" customHeight="1">
      <x:c r="A112" s="17" t="str">
        <x:v>Spitz et al. 2010</x:v>
      </x:c>
      <x:c r="B112" s="17" t="str">
        <x:v>Scomberesox saurus</x:v>
      </x:c>
      <x:c r="C112" s="52" t="n">
        <x:v>5.8</x:v>
      </x:c>
      <x:c r="D112" s="17" t="str">
        <x:v>Scomberesox</x:v>
      </x:c>
      <x:c r="E112" s="17" t="str">
        <x:v>Scomberesocidae</x:v>
      </x:c>
      <x:c r="F112" s="17" t="str">
        <x:v>Unclassified teleosts</x:v>
      </x:c>
      <x:c r="G112" s="17" t="str">
        <x:v>Teleostei</x:v>
      </x:c>
      <x:c r="H112" s="17" t="n">
        <x:v>1</x:v>
      </x:c>
      <x:c r="I112" s="17" t="str">
        <x:v>No</x:v>
      </x:c>
      <x:c r="J112" s="17" t="str">
        <x:v>Family</x:v>
      </x:c>
      <x:c r="K112" s="52" t="n">
        <x:v>7</x:v>
      </x:c>
      <x:c r="L112" s="52" t="n">
        <x:f>IF(K112="","",K112-C112)</x:f>
        <x:v>1.2000000000000002</x:v>
      </x:c>
      <x:c r="M112" s="52" t="n">
        <x:f>IF(L112="","",ABS(L112))</x:f>
        <x:v>1.2000000000000002</x:v>
      </x:c>
      <x:c r="N112" s="53" t="n">
        <x:f>IF(M112="","",M112/C112*100)</x:f>
        <x:v>20.689655172413797</x:v>
      </x:c>
      <x:c r="O112" s="17" t="str">
        <x:v>Predicted</x:v>
      </x:c>
    </x:row>
    <x:row r="113" ht="15" hidden="0" customHeight="1">
      <x:c r="A113" s="17" t="str">
        <x:v>Spitz et al. 2010</x:v>
      </x:c>
      <x:c r="B113" s="17" t="str">
        <x:v>Scorpaena loppei</x:v>
      </x:c>
      <x:c r="C113" s="52" t="n">
        <x:v>5.1</x:v>
      </x:c>
      <x:c r="D113" s="17" t="str">
        <x:v>Scorpaena</x:v>
      </x:c>
      <x:c r="E113" s="17" t="str">
        <x:v>Scorpaenidae</x:v>
      </x:c>
      <x:c r="F113" s="17" t="str">
        <x:v>Unclassified teleosts</x:v>
      </x:c>
      <x:c r="G113" s="17" t="str">
        <x:v>Teleostei</x:v>
      </x:c>
      <x:c r="H113" s="17" t="n">
        <x:v>1</x:v>
      </x:c>
      <x:c r="I113" s="17" t="str">
        <x:v>No</x:v>
      </x:c>
      <x:c r="J113" s="17" t="str">
        <x:v>Ecological proxy</x:v>
      </x:c>
      <x:c r="K113" s="52" t="n">
        <x:v>4.92</x:v>
      </x:c>
      <x:c r="L113" s="52" t="n">
        <x:f>IF(K113="","",K113-C113)</x:f>
        <x:v>-0.17999999999999972</x:v>
      </x:c>
      <x:c r="M113" s="52" t="n">
        <x:f>IF(L113="","",ABS(L113))</x:f>
        <x:v>0.17999999999999972</x:v>
      </x:c>
      <x:c r="N113" s="53" t="n">
        <x:f>IF(M113="","",M113/C113*100)</x:f>
        <x:v>3.529411764705877</x:v>
      </x:c>
      <x:c r="O113" s="17" t="str">
        <x:v>Predicted</x:v>
      </x:c>
    </x:row>
    <x:row r="114" ht="15" hidden="0" customHeight="1">
      <x:c r="A114" s="17" t="str">
        <x:v>Spitz et al. 2010</x:v>
      </x:c>
      <x:c r="B114" s="17" t="str">
        <x:v>Scyliorhinus canicula</x:v>
      </x:c>
      <x:c r="C114" s="52" t="n">
        <x:v>6.4</x:v>
      </x:c>
      <x:c r="D114" s="17" t="str">
        <x:v>Scyliorhinus</x:v>
      </x:c>
      <x:c r="E114" s="17" t="str">
        <x:v>Scyliorhinidae</x:v>
      </x:c>
      <x:c r="F114" s="17" t="str">
        <x:v>Demersal sharks</x:v>
      </x:c>
      <x:c r="G114" s="17" t="str">
        <x:v>Chondrichthyes</x:v>
      </x:c>
      <x:c r="H114" s="17" t="n">
        <x:v>1</x:v>
      </x:c>
      <x:c r="I114" s="17" t="str">
        <x:v>No</x:v>
      </x:c>
      <x:c r="J114" s="17" t="str">
        <x:v>No fallback</x:v>
      </x:c>
      <x:c r="K114" s="52"/>
      <x:c r="L114" s="52" t="str">
        <x:f>IF(K114="","",K114-C114)</x:f>
      </x:c>
      <x:c r="M114" s="52" t="str">
        <x:f>IF(L114="","",ABS(L114))</x:f>
      </x:c>
      <x:c r="N114" s="53" t="str">
        <x:f>IF(M114="","",M114/C114*100)</x:f>
      </x:c>
      <x:c r="O114" s="17" t="str">
        <x:v>No prediction</x:v>
      </x:c>
    </x:row>
    <x:row r="115" ht="15" hidden="0" customHeight="1">
      <x:c r="A115" s="17" t="str">
        <x:v>Spitz et al. 2010</x:v>
      </x:c>
      <x:c r="B115" s="17" t="str">
        <x:v>Sepia officinalis</x:v>
      </x:c>
      <x:c r="C115" s="52" t="n">
        <x:v>3.8</x:v>
      </x:c>
      <x:c r="D115" s="17" t="str">
        <x:v>Sepia</x:v>
      </x:c>
      <x:c r="E115" s="17" t="str">
        <x:v>Sepiidae</x:v>
      </x:c>
      <x:c r="F115" s="17" t="str">
        <x:v>Demersal/benthopelagic cuttlefishes</x:v>
      </x:c>
      <x:c r="G115" s="17" t="str">
        <x:v>Cephalopoda</x:v>
      </x:c>
      <x:c r="H115" s="17" t="n">
        <x:v>1</x:v>
      </x:c>
      <x:c r="I115" s="17" t="str">
        <x:v>No</x:v>
      </x:c>
      <x:c r="J115" s="17" t="str">
        <x:v>Broad</x:v>
      </x:c>
      <x:c r="K115" s="52" t="n">
        <x:v>5.16</x:v>
      </x:c>
      <x:c r="L115" s="52" t="n">
        <x:f>IF(K115="","",K115-C115)</x:f>
        <x:v>1.3600000000000003</x:v>
      </x:c>
      <x:c r="M115" s="52" t="n">
        <x:f>IF(L115="","",ABS(L115))</x:f>
        <x:v>1.3600000000000003</x:v>
      </x:c>
      <x:c r="N115" s="53" t="n">
        <x:f>IF(M115="","",M115/C115*100)</x:f>
        <x:v>35.789473684210535</x:v>
      </x:c>
      <x:c r="O115" s="17" t="str">
        <x:v>Predicted</x:v>
      </x:c>
    </x:row>
    <x:row r="116" ht="15" hidden="0" customHeight="1">
      <x:c r="A116" s="17" t="str">
        <x:v>Spitz et al. 2010</x:v>
      </x:c>
      <x:c r="B116" s="17" t="str">
        <x:v>Serrivomer beanii</x:v>
      </x:c>
      <x:c r="C116" s="52" t="n">
        <x:v>2.1</x:v>
      </x:c>
      <x:c r="D116" s="17" t="str">
        <x:v>Serrivomer</x:v>
      </x:c>
      <x:c r="E116" s="17" t="str">
        <x:v>Serrivomeridae</x:v>
      </x:c>
      <x:c r="F116" s="17" t="str">
        <x:v>Unclassified teleosts</x:v>
      </x:c>
      <x:c r="G116" s="17" t="str">
        <x:v>Teleostei</x:v>
      </x:c>
      <x:c r="H116" s="17" t="n">
        <x:v>1</x:v>
      </x:c>
      <x:c r="I116" s="17" t="str">
        <x:v>No</x:v>
      </x:c>
      <x:c r="J116" s="17" t="str">
        <x:v>Ecological proxy</x:v>
      </x:c>
      <x:c r="K116" s="52" t="n">
        <x:v>4.92</x:v>
      </x:c>
      <x:c r="L116" s="52" t="n">
        <x:f>IF(K116="","",K116-C116)</x:f>
        <x:v>2.82</x:v>
      </x:c>
      <x:c r="M116" s="52" t="n">
        <x:f>IF(L116="","",ABS(L116))</x:f>
        <x:v>2.82</x:v>
      </x:c>
      <x:c r="N116" s="53" t="n">
        <x:f>IF(M116="","",M116/C116*100)</x:f>
        <x:v>134.28571428571428</x:v>
      </x:c>
      <x:c r="O116" s="17" t="str">
        <x:v>Predicted</x:v>
      </x:c>
    </x:row>
    <x:row r="117" ht="15" hidden="0" customHeight="1">
      <x:c r="A117" s="17" t="str">
        <x:v>Spitz et al. 2010</x:v>
      </x:c>
      <x:c r="B117" s="17" t="str">
        <x:v>Solea solea</x:v>
      </x:c>
      <x:c r="C117" s="52" t="n">
        <x:v>5</x:v>
      </x:c>
      <x:c r="D117" s="17" t="str">
        <x:v>Solea</x:v>
      </x:c>
      <x:c r="E117" s="17" t="str">
        <x:v>Soleidae</x:v>
      </x:c>
      <x:c r="F117" s="17" t="str">
        <x:v>Demersal flatfishes</x:v>
      </x:c>
      <x:c r="G117" s="17" t="str">
        <x:v>Teleostei</x:v>
      </x:c>
      <x:c r="H117" s="17" t="n">
        <x:v>1</x:v>
      </x:c>
      <x:c r="I117" s="17" t="str">
        <x:v>No</x:v>
      </x:c>
      <x:c r="J117" s="17" t="str">
        <x:v>Ecological proxy</x:v>
      </x:c>
      <x:c r="K117" s="52" t="n">
        <x:v>4.98</x:v>
      </x:c>
      <x:c r="L117" s="52" t="n">
        <x:f>IF(K117="","",K117-C117)</x:f>
        <x:v>-0.019999999999999574</x:v>
      </x:c>
      <x:c r="M117" s="52" t="n">
        <x:f>IF(L117="","",ABS(L117))</x:f>
        <x:v>0.019999999999999574</x:v>
      </x:c>
      <x:c r="N117" s="53" t="n">
        <x:f>IF(M117="","",M117/C117*100)</x:f>
        <x:v>0.39999999999999153</x:v>
      </x:c>
      <x:c r="O117" s="17" t="str">
        <x:v>Predicted</x:v>
      </x:c>
    </x:row>
    <x:row r="118" ht="15" hidden="0" customHeight="1">
      <x:c r="A118" s="17" t="str">
        <x:v>Spitz et al. 2010</x:v>
      </x:c>
      <x:c r="B118" s="17" t="str">
        <x:v>Spondyliosoma cantharus</x:v>
      </x:c>
      <x:c r="C118" s="52" t="n">
        <x:v>6.9</x:v>
      </x:c>
      <x:c r="D118" s="17" t="str">
        <x:v>Spondyliosoma</x:v>
      </x:c>
      <x:c r="E118" s="17" t="str">
        <x:v>Sparidae</x:v>
      </x:c>
      <x:c r="F118" s="17" t="str">
        <x:v>Unclassified teleosts</x:v>
      </x:c>
      <x:c r="G118" s="17" t="str">
        <x:v>Teleostei</x:v>
      </x:c>
      <x:c r="H118" s="17" t="n">
        <x:v>1</x:v>
      </x:c>
      <x:c r="I118" s="17" t="str">
        <x:v>No</x:v>
      </x:c>
      <x:c r="J118" s="17" t="str">
        <x:v>Family</x:v>
      </x:c>
      <x:c r="K118" s="52" t="n">
        <x:v>5.859999999999999</x:v>
      </x:c>
      <x:c r="L118" s="52" t="n">
        <x:f>IF(K118="","",K118-C118)</x:f>
        <x:v>-1.040000000000001</x:v>
      </x:c>
      <x:c r="M118" s="52" t="n">
        <x:f>IF(L118="","",ABS(L118))</x:f>
        <x:v>1.040000000000001</x:v>
      </x:c>
      <x:c r="N118" s="53" t="n">
        <x:f>IF(M118="","",M118/C118*100)</x:f>
        <x:v>15.072463768115954</x:v>
      </x:c>
      <x:c r="O118" s="17" t="str">
        <x:v>Predicted</x:v>
      </x:c>
    </x:row>
    <x:row r="119" ht="15" hidden="0" customHeight="1">
      <x:c r="A119" s="17" t="str">
        <x:v>Spitz et al. 2010</x:v>
      </x:c>
      <x:c r="B119" s="17" t="str">
        <x:v>Sprattus sprattus</x:v>
      </x:c>
      <x:c r="C119" s="52" t="n">
        <x:v>6.5</x:v>
      </x:c>
      <x:c r="D119" s="17" t="str">
        <x:v>Sprattus</x:v>
      </x:c>
      <x:c r="E119" s="17" t="str">
        <x:v>Clupeidae</x:v>
      </x:c>
      <x:c r="F119" s="17" t="str">
        <x:v>Small pelagic forage fishes</x:v>
      </x:c>
      <x:c r="G119" s="17" t="str">
        <x:v>Teleostei</x:v>
      </x:c>
      <x:c r="H119" s="17" t="n">
        <x:v>1</x:v>
      </x:c>
      <x:c r="I119" s="17" t="str">
        <x:v>No</x:v>
      </x:c>
      <x:c r="J119" s="17" t="str">
        <x:v>Family</x:v>
      </x:c>
      <x:c r="K119" s="52" t="n">
        <x:v>6.75</x:v>
      </x:c>
      <x:c r="L119" s="52" t="n">
        <x:f>IF(K119="","",K119-C119)</x:f>
        <x:v>0.25</x:v>
      </x:c>
      <x:c r="M119" s="52" t="n">
        <x:f>IF(L119="","",ABS(L119))</x:f>
        <x:v>0.25</x:v>
      </x:c>
      <x:c r="N119" s="53" t="n">
        <x:f>IF(M119="","",M119/C119*100)</x:f>
        <x:v>3.8461538461538463</x:v>
      </x:c>
      <x:c r="O119" s="17" t="str">
        <x:v>Predicted</x:v>
      </x:c>
    </x:row>
    <x:row r="120" ht="15" hidden="0" customHeight="1">
      <x:c r="A120" s="17" t="str">
        <x:v>Spitz et al. 2010</x:v>
      </x:c>
      <x:c r="B120" s="17" t="str">
        <x:v>Stomias boa</x:v>
      </x:c>
      <x:c r="C120" s="52" t="n">
        <x:v>2.8</x:v>
      </x:c>
      <x:c r="D120" s="17" t="str">
        <x:v>Stomias</x:v>
      </x:c>
      <x:c r="E120" s="17" t="str">
        <x:v>Stomiidae</x:v>
      </x:c>
      <x:c r="F120" s="17" t="str">
        <x:v>Unclassified teleosts</x:v>
      </x:c>
      <x:c r="G120" s="17" t="str">
        <x:v>Teleostei</x:v>
      </x:c>
      <x:c r="H120" s="17" t="n">
        <x:v>1</x:v>
      </x:c>
      <x:c r="I120" s="17" t="str">
        <x:v>No</x:v>
      </x:c>
      <x:c r="J120" s="17" t="str">
        <x:v>Ecological proxy</x:v>
      </x:c>
      <x:c r="K120" s="52" t="n">
        <x:v>4.92</x:v>
      </x:c>
      <x:c r="L120" s="52" t="n">
        <x:f>IF(K120="","",K120-C120)</x:f>
        <x:v>2.12</x:v>
      </x:c>
      <x:c r="M120" s="52" t="n">
        <x:f>IF(L120="","",ABS(L120))</x:f>
        <x:v>2.12</x:v>
      </x:c>
      <x:c r="N120" s="53" t="n">
        <x:f>IF(M120="","",M120/C120*100)</x:f>
        <x:v>75.71428571428572</x:v>
      </x:c>
      <x:c r="O120" s="17" t="str">
        <x:v>Predicted</x:v>
      </x:c>
    </x:row>
    <x:row r="121" ht="15" hidden="0" customHeight="1">
      <x:c r="A121" s="17" t="str">
        <x:v>Spitz et al. 2010</x:v>
      </x:c>
      <x:c r="B121" s="17" t="str">
        <x:v>Todaropsis eblanae</x:v>
      </x:c>
      <x:c r="C121" s="52" t="n">
        <x:v>4.4</x:v>
      </x:c>
      <x:c r="D121" s="17" t="str">
        <x:v>Todaropsis</x:v>
      </x:c>
      <x:c r="E121" s="17" t="str">
        <x:v>Ommastrephidae</x:v>
      </x:c>
      <x:c r="F121" s="17" t="str">
        <x:v>Pelagic squids</x:v>
      </x:c>
      <x:c r="G121" s="17" t="str">
        <x:v>Cephalopoda</x:v>
      </x:c>
      <x:c r="H121" s="17" t="n">
        <x:v>1</x:v>
      </x:c>
      <x:c r="I121" s="17" t="str">
        <x:v>No</x:v>
      </x:c>
      <x:c r="J121" s="17" t="str">
        <x:v>Family</x:v>
      </x:c>
      <x:c r="K121" s="52" t="n">
        <x:v>5.45</x:v>
      </x:c>
      <x:c r="L121" s="52" t="n">
        <x:f>IF(K121="","",K121-C121)</x:f>
        <x:v>1.0499999999999998</x:v>
      </x:c>
      <x:c r="M121" s="52" t="n">
        <x:f>IF(L121="","",ABS(L121))</x:f>
        <x:v>1.0499999999999998</x:v>
      </x:c>
      <x:c r="N121" s="53" t="n">
        <x:f>IF(M121="","",M121/C121*100)</x:f>
        <x:v>23.863636363636356</x:v>
      </x:c>
      <x:c r="O121" s="17" t="str">
        <x:v>Predicted</x:v>
      </x:c>
    </x:row>
    <x:row r="122" ht="15" hidden="0" customHeight="1">
      <x:c r="A122" s="17" t="str">
        <x:v>Spitz et al. 2010</x:v>
      </x:c>
      <x:c r="B122" s="17" t="str">
        <x:v>Trachinus draco</x:v>
      </x:c>
      <x:c r="C122" s="52" t="n">
        <x:v>5.3</x:v>
      </x:c>
      <x:c r="D122" s="17" t="str">
        <x:v>Trachinus</x:v>
      </x:c>
      <x:c r="E122" s="17" t="str">
        <x:v>Trachinidae</x:v>
      </x:c>
      <x:c r="F122" s="17" t="str">
        <x:v>Unclassified teleosts</x:v>
      </x:c>
      <x:c r="G122" s="17" t="str">
        <x:v>Teleostei</x:v>
      </x:c>
      <x:c r="H122" s="17" t="n">
        <x:v>1</x:v>
      </x:c>
      <x:c r="I122" s="17" t="str">
        <x:v>No</x:v>
      </x:c>
      <x:c r="J122" s="17" t="str">
        <x:v>Ecological proxy</x:v>
      </x:c>
      <x:c r="K122" s="52" t="n">
        <x:v>4.92</x:v>
      </x:c>
      <x:c r="L122" s="52" t="n">
        <x:f>IF(K122="","",K122-C122)</x:f>
        <x:v>-0.3799999999999999</x:v>
      </x:c>
      <x:c r="M122" s="52" t="n">
        <x:f>IF(L122="","",ABS(L122))</x:f>
        <x:v>0.3799999999999999</x:v>
      </x:c>
      <x:c r="N122" s="53" t="n">
        <x:f>IF(M122="","",M122/C122*100)</x:f>
        <x:v>7.169811320754715</x:v>
      </x:c>
      <x:c r="O122" s="17" t="str">
        <x:v>Predicted</x:v>
      </x:c>
    </x:row>
    <x:row r="123" ht="15" hidden="0" customHeight="1">
      <x:c r="A123" s="17" t="str">
        <x:v>Spitz et al. 2010</x:v>
      </x:c>
      <x:c r="B123" s="17" t="str">
        <x:v>Trachurus trachurus</x:v>
      </x:c>
      <x:c r="C123" s="52" t="n">
        <x:v>6</x:v>
      </x:c>
      <x:c r="D123" s="17" t="str">
        <x:v>Trachurus</x:v>
      </x:c>
      <x:c r="E123" s="17" t="str">
        <x:v>Carangidae</x:v>
      </x:c>
      <x:c r="F123" s="17" t="str">
        <x:v>Unclassified teleosts</x:v>
      </x:c>
      <x:c r="G123" s="17" t="str">
        <x:v>Teleostei</x:v>
      </x:c>
      <x:c r="H123" s="17" t="n">
        <x:v>1</x:v>
      </x:c>
      <x:c r="I123" s="17" t="str">
        <x:v>No</x:v>
      </x:c>
      <x:c r="J123" s="17" t="str">
        <x:v>Genus</x:v>
      </x:c>
      <x:c r="K123" s="52" t="n">
        <x:v>5.78</x:v>
      </x:c>
      <x:c r="L123" s="52" t="n">
        <x:f>IF(K123="","",K123-C123)</x:f>
        <x:v>-0.21999999999999975</x:v>
      </x:c>
      <x:c r="M123" s="52" t="n">
        <x:f>IF(L123="","",ABS(L123))</x:f>
        <x:v>0.21999999999999975</x:v>
      </x:c>
      <x:c r="N123" s="53" t="n">
        <x:f>IF(M123="","",M123/C123*100)</x:f>
        <x:v>3.6666666666666625</x:v>
      </x:c>
      <x:c r="O123" s="17" t="str">
        <x:v>Predicted</x:v>
      </x:c>
    </x:row>
    <x:row r="124" ht="15" hidden="0" customHeight="1">
      <x:c r="A124" s="17" t="str">
        <x:v>Spitz et al. 2010</x:v>
      </x:c>
      <x:c r="B124" s="17" t="str">
        <x:v>Trisopterus luscus</x:v>
      </x:c>
      <x:c r="C124" s="52" t="n">
        <x:v>4.7</x:v>
      </x:c>
      <x:c r="D124" s="17" t="str">
        <x:v>Trisopterus</x:v>
      </x:c>
      <x:c r="E124" s="17" t="str">
        <x:v>Gadidae</x:v>
      </x:c>
      <x:c r="F124" s="17" t="str">
        <x:v>Other demersal fishes</x:v>
      </x:c>
      <x:c r="G124" s="17" t="str">
        <x:v>Teleostei</x:v>
      </x:c>
      <x:c r="H124" s="17" t="n">
        <x:v>1</x:v>
      </x:c>
      <x:c r="I124" s="17" t="str">
        <x:v>No</x:v>
      </x:c>
      <x:c r="J124" s="17" t="str">
        <x:v>Ecological proxy</x:v>
      </x:c>
      <x:c r="K124" s="52" t="n">
        <x:v>5.2</x:v>
      </x:c>
      <x:c r="L124" s="52" t="n">
        <x:f>IF(K124="","",K124-C124)</x:f>
        <x:v>0.5</x:v>
      </x:c>
      <x:c r="M124" s="52" t="n">
        <x:f>IF(L124="","",ABS(L124))</x:f>
        <x:v>0.5</x:v>
      </x:c>
      <x:c r="N124" s="53" t="n">
        <x:f>IF(M124="","",M124/C124*100)</x:f>
        <x:v>10.638297872340425</x:v>
      </x:c>
      <x:c r="O124" s="17" t="str">
        <x:v>Predicted</x:v>
      </x:c>
    </x:row>
    <x:row r="125" ht="15" hidden="0" customHeight="1">
      <x:c r="A125" s="17" t="str">
        <x:v>Spitz et al. 2010</x:v>
      </x:c>
      <x:c r="B125" s="17" t="str">
        <x:v>Trisopterus minutus</x:v>
      </x:c>
      <x:c r="C125" s="52" t="n">
        <x:v>5.1</x:v>
      </x:c>
      <x:c r="D125" s="17" t="str">
        <x:v>Trisopterus</x:v>
      </x:c>
      <x:c r="E125" s="17" t="str">
        <x:v>Gadidae</x:v>
      </x:c>
      <x:c r="F125" s="17" t="str">
        <x:v>Other demersal fishes</x:v>
      </x:c>
      <x:c r="G125" s="17" t="str">
        <x:v>Teleostei</x:v>
      </x:c>
      <x:c r="H125" s="17" t="n">
        <x:v>1</x:v>
      </x:c>
      <x:c r="I125" s="17" t="str">
        <x:v>No</x:v>
      </x:c>
      <x:c r="J125" s="17" t="str">
        <x:v>Ecological proxy</x:v>
      </x:c>
      <x:c r="K125" s="52" t="n">
        <x:v>5.2</x:v>
      </x:c>
      <x:c r="L125" s="52" t="n">
        <x:f>IF(K125="","",K125-C125)</x:f>
        <x:v>0.10000000000000053</x:v>
      </x:c>
      <x:c r="M125" s="52" t="n">
        <x:f>IF(L125="","",ABS(L125))</x:f>
        <x:v>0.10000000000000053</x:v>
      </x:c>
      <x:c r="N125" s="53" t="n">
        <x:f>IF(M125="","",M125/C125*100)</x:f>
        <x:v>1.960784313725501</x:v>
      </x:c>
      <x:c r="O125" s="17" t="str">
        <x:v>Predicted</x:v>
      </x:c>
    </x:row>
    <x:row r="126" ht="15" hidden="0" customHeight="1">
      <x:c r="A126" s="17" t="str">
        <x:v>Spitz et al. 2010</x:v>
      </x:c>
      <x:c r="B126" s="17" t="str">
        <x:v>Xenodermichtys copei</x:v>
      </x:c>
      <x:c r="C126" s="52" t="n">
        <x:v>2.2</x:v>
      </x:c>
      <x:c r="D126" s="17" t="str">
        <x:v>Xenodermichtys</x:v>
      </x:c>
      <x:c r="E126" s="17" t="str">
        <x:v>Alepocephalidae</x:v>
      </x:c>
      <x:c r="F126" s="17" t="str">
        <x:v>Unclassified teleosts</x:v>
      </x:c>
      <x:c r="G126" s="17" t="str">
        <x:v>Teleostei</x:v>
      </x:c>
      <x:c r="H126" s="17" t="n">
        <x:v>1</x:v>
      </x:c>
      <x:c r="I126" s="17" t="str">
        <x:v>No</x:v>
      </x:c>
      <x:c r="J126" s="17" t="str">
        <x:v>Ecological proxy</x:v>
      </x:c>
      <x:c r="K126" s="52" t="n">
        <x:v>4.92</x:v>
      </x:c>
      <x:c r="L126" s="52" t="n">
        <x:f>IF(K126="","",K126-C126)</x:f>
        <x:v>2.7199999999999998</x:v>
      </x:c>
      <x:c r="M126" s="52" t="n">
        <x:f>IF(L126="","",ABS(L126))</x:f>
        <x:v>2.7199999999999998</x:v>
      </x:c>
      <x:c r="N126" s="53" t="n">
        <x:f>IF(M126="","",M126/C126*100)</x:f>
        <x:v>123.63636363636361</x:v>
      </x:c>
      <x:c r="O126" s="17" t="str">
        <x:v>Predicted</x:v>
      </x:c>
    </x:row>
    <x:row r="127" ht="15" hidden="0" customHeight="1">
      <x:c r="A127" s="17" t="str">
        <x:v>Wuenschel et al. 2024</x:v>
      </x:c>
      <x:c r="B127" s="17" t="str">
        <x:v>Alosa pseudoharengus</x:v>
      </x:c>
      <x:c r="C127" s="52" t="n">
        <x:v>6.99</x:v>
      </x:c>
      <x:c r="D127" s="17" t="str">
        <x:v>Alosa</x:v>
      </x:c>
      <x:c r="E127" s="17" t="str">
        <x:v>Clupeidae</x:v>
      </x:c>
      <x:c r="F127" s="17" t="str">
        <x:v>Small pelagic forage fishes</x:v>
      </x:c>
      <x:c r="G127" s="17" t="str">
        <x:v>Teleostei</x:v>
      </x:c>
      <x:c r="H127" s="17" t="n">
        <x:v>1</x:v>
      </x:c>
      <x:c r="I127" s="17" t="str">
        <x:v>No</x:v>
      </x:c>
      <x:c r="J127" s="17" t="str">
        <x:v>Family</x:v>
      </x:c>
      <x:c r="K127" s="52" t="n">
        <x:v>6.875</x:v>
      </x:c>
      <x:c r="L127" s="52" t="n">
        <x:f>IF(K127="","",K127-C127)</x:f>
        <x:v>-0.11500000000000021</x:v>
      </x:c>
      <x:c r="M127" s="52" t="n">
        <x:f>IF(L127="","",ABS(L127))</x:f>
        <x:v>0.11500000000000021</x:v>
      </x:c>
      <x:c r="N127" s="53" t="n">
        <x:f>IF(M127="","",M127/C127*100)</x:f>
        <x:v>1.6452074391988585</x:v>
      </x:c>
      <x:c r="O127" s="17" t="str">
        <x:v>Predicted</x:v>
      </x:c>
    </x:row>
    <x:row r="128" ht="15" hidden="0" customHeight="1">
      <x:c r="A128" s="17" t="str">
        <x:v>Wuenschel et al. 2024</x:v>
      </x:c>
      <x:c r="B128" s="17" t="str">
        <x:v>Ammodytes dubius</x:v>
      </x:c>
      <x:c r="C128" s="52" t="n">
        <x:v>6</x:v>
      </x:c>
      <x:c r="D128" s="17" t="str">
        <x:v>Ammodytes</x:v>
      </x:c>
      <x:c r="E128" s="17" t="str">
        <x:v>Ammodytidae</x:v>
      </x:c>
      <x:c r="F128" s="17" t="str">
        <x:v>Small pelagic forage fishes</x:v>
      </x:c>
      <x:c r="G128" s="17" t="str">
        <x:v>Teleostei</x:v>
      </x:c>
      <x:c r="H128" s="17" t="n">
        <x:v>1</x:v>
      </x:c>
      <x:c r="I128" s="17" t="str">
        <x:v>No</x:v>
      </x:c>
      <x:c r="J128" s="17" t="str">
        <x:v>Genus</x:v>
      </x:c>
      <x:c r="K128" s="52" t="n">
        <x:v>5.375</x:v>
      </x:c>
      <x:c r="L128" s="52" t="n">
        <x:f>IF(K128="","",K128-C128)</x:f>
        <x:v>-0.625</x:v>
      </x:c>
      <x:c r="M128" s="52" t="n">
        <x:f>IF(L128="","",ABS(L128))</x:f>
        <x:v>0.625</x:v>
      </x:c>
      <x:c r="N128" s="53" t="n">
        <x:f>IF(M128="","",M128/C128*100)</x:f>
        <x:v>10.416666666666668</x:v>
      </x:c>
      <x:c r="O128" s="17" t="str">
        <x:v>Predicted</x:v>
      </x:c>
    </x:row>
    <x:row r="129" ht="15" hidden="0" customHeight="1">
      <x:c r="A129" s="17" t="str">
        <x:v>Wuenschel et al. 2024</x:v>
      </x:c>
      <x:c r="B129" s="17" t="str">
        <x:v>Clupea harengus</x:v>
      </x:c>
      <x:c r="C129" s="52" t="n">
        <x:v>5.71</x:v>
      </x:c>
      <x:c r="D129" s="17" t="str">
        <x:v>Clupea</x:v>
      </x:c>
      <x:c r="E129" s="17" t="str">
        <x:v>Clupeidae</x:v>
      </x:c>
      <x:c r="F129" s="17" t="str">
        <x:v>Small pelagic forage fishes</x:v>
      </x:c>
      <x:c r="G129" s="17" t="str">
        <x:v>Teleostei</x:v>
      </x:c>
      <x:c r="H129" s="17" t="n">
        <x:v>1</x:v>
      </x:c>
      <x:c r="I129" s="17" t="str">
        <x:v>Yes</x:v>
      </x:c>
      <x:c r="J129" s="17" t="str">
        <x:v>Exact taxon</x:v>
      </x:c>
      <x:c r="K129" s="52" t="n">
        <x:v>10.2</x:v>
      </x:c>
      <x:c r="L129" s="52" t="n">
        <x:f>IF(K129="","",K129-C129)</x:f>
        <x:v>4.489999999999999</x:v>
      </x:c>
      <x:c r="M129" s="52" t="n">
        <x:f>IF(L129="","",ABS(L129))</x:f>
        <x:v>4.489999999999999</x:v>
      </x:c>
      <x:c r="N129" s="53" t="n">
        <x:f>IF(M129="","",M129/C129*100)</x:f>
        <x:v>78.6339754816112</x:v>
      </x:c>
      <x:c r="O129" s="17" t="str">
        <x:v>Predicted</x:v>
      </x:c>
    </x:row>
    <x:row r="130" ht="15" hidden="0" customHeight="1">
      <x:c r="A130" s="17" t="str">
        <x:v>Wuenschel et al. 2024</x:v>
      </x:c>
      <x:c r="B130" s="17" t="str">
        <x:v>Doryteuthis pealeii</x:v>
      </x:c>
      <x:c r="C130" s="52" t="n">
        <x:v>5.16</x:v>
      </x:c>
      <x:c r="D130" s="17" t="str">
        <x:v>Doryteuthis</x:v>
      </x:c>
      <x:c r="E130" s="17" t="str">
        <x:v>Loliginidae</x:v>
      </x:c>
      <x:c r="F130" s="17" t="str">
        <x:v>Pelagic squids</x:v>
      </x:c>
      <x:c r="G130" s="17" t="str">
        <x:v>Cephalopoda</x:v>
      </x:c>
      <x:c r="H130" s="17" t="n">
        <x:v>1</x:v>
      </x:c>
      <x:c r="I130" s="17" t="str">
        <x:v>No</x:v>
      </x:c>
      <x:c r="J130" s="17" t="str">
        <x:v>Genus</x:v>
      </x:c>
      <x:c r="K130" s="52" t="n">
        <x:v>4.85</x:v>
      </x:c>
      <x:c r="L130" s="52" t="n">
        <x:f>IF(K130="","",K130-C130)</x:f>
        <x:v>-0.3100000000000005</x:v>
      </x:c>
      <x:c r="M130" s="52" t="n">
        <x:f>IF(L130="","",ABS(L130))</x:f>
        <x:v>0.3100000000000005</x:v>
      </x:c>
      <x:c r="N130" s="53" t="n">
        <x:f>IF(M130="","",M130/C130*100)</x:f>
        <x:v>6.007751937984505</x:v>
      </x:c>
      <x:c r="O130" s="17" t="str">
        <x:v>Predicted</x:v>
      </x:c>
    </x:row>
    <x:row r="131" ht="15" hidden="0" customHeight="1">
      <x:c r="A131" s="17" t="str">
        <x:v>Wuenschel et al. 2024</x:v>
      </x:c>
      <x:c r="B131" s="17" t="str">
        <x:v>Illex illecebrosus</x:v>
      </x:c>
      <x:c r="C131" s="52" t="n">
        <x:v>5.45</x:v>
      </x:c>
      <x:c r="D131" s="17" t="str">
        <x:v>Illex</x:v>
      </x:c>
      <x:c r="E131" s="17" t="str">
        <x:v>Ommastrephidae</x:v>
      </x:c>
      <x:c r="F131" s="17" t="str">
        <x:v>Pelagic squids</x:v>
      </x:c>
      <x:c r="G131" s="17" t="str">
        <x:v>Cephalopoda</x:v>
      </x:c>
      <x:c r="H131" s="17" t="n">
        <x:v>1</x:v>
      </x:c>
      <x:c r="I131" s="17" t="str">
        <x:v>No</x:v>
      </x:c>
      <x:c r="J131" s="17" t="str">
        <x:v>Genus</x:v>
      </x:c>
      <x:c r="K131" s="52" t="n">
        <x:v>4.3</x:v>
      </x:c>
      <x:c r="L131" s="52" t="n">
        <x:f>IF(K131="","",K131-C131)</x:f>
        <x:v>-1.1500000000000004</x:v>
      </x:c>
      <x:c r="M131" s="52" t="n">
        <x:f>IF(L131="","",ABS(L131))</x:f>
        <x:v>1.1500000000000004</x:v>
      </x:c>
      <x:c r="N131" s="53" t="n">
        <x:f>IF(M131="","",M131/C131*100)</x:f>
        <x:v>21.100917431192666</x:v>
      </x:c>
      <x:c r="O131" s="17" t="str">
        <x:v>Predicted</x:v>
      </x:c>
    </x:row>
    <x:row r="132" ht="15" hidden="0" customHeight="1">
      <x:c r="A132" s="17" t="str">
        <x:v>Wuenschel et al. 2024</x:v>
      </x:c>
      <x:c r="B132" s="17" t="str">
        <x:v>Merluccius bilinearis</x:v>
      </x:c>
      <x:c r="C132" s="52" t="n">
        <x:v>4.28</x:v>
      </x:c>
      <x:c r="D132" s="17" t="str">
        <x:v>Merluccius</x:v>
      </x:c>
      <x:c r="E132" s="17" t="str">
        <x:v>Merlucciidae</x:v>
      </x:c>
      <x:c r="F132" s="17" t="str">
        <x:v>Other demersal fishes</x:v>
      </x:c>
      <x:c r="G132" s="17" t="str">
        <x:v>Teleostei</x:v>
      </x:c>
      <x:c r="H132" s="17" t="n">
        <x:v>1</x:v>
      </x:c>
      <x:c r="I132" s="17" t="str">
        <x:v>No</x:v>
      </x:c>
      <x:c r="J132" s="17" t="str">
        <x:v>Genus</x:v>
      </x:c>
      <x:c r="K132" s="52" t="n">
        <x:v>3.7</x:v>
      </x:c>
      <x:c r="L132" s="52" t="n">
        <x:f>IF(K132="","",K132-C132)</x:f>
        <x:v>-0.5800000000000001</x:v>
      </x:c>
      <x:c r="M132" s="52" t="n">
        <x:f>IF(L132="","",ABS(L132))</x:f>
        <x:v>0.5800000000000001</x:v>
      </x:c>
      <x:c r="N132" s="53" t="n">
        <x:f>IF(M132="","",M132/C132*100)</x:f>
        <x:v>13.55140186915888</x:v>
      </x:c>
      <x:c r="O132" s="17" t="str">
        <x:v>Predicted</x:v>
      </x:c>
    </x:row>
    <x:row r="133" ht="15" hidden="0" customHeight="1">
      <x:c r="A133" s="17" t="str">
        <x:v>Wuenschel et al. 2024</x:v>
      </x:c>
      <x:c r="B133" s="17" t="str">
        <x:v>Peprilus triacanthus</x:v>
      </x:c>
      <x:c r="C133" s="52" t="n">
        <x:v>6.74</x:v>
      </x:c>
      <x:c r="D133" s="17" t="str">
        <x:v>Peprilus</x:v>
      </x:c>
      <x:c r="E133" s="17" t="str">
        <x:v>Stromateidae</x:v>
      </x:c>
      <x:c r="F133" s="17" t="str">
        <x:v>Small pelagic forage fishes</x:v>
      </x:c>
      <x:c r="G133" s="17" t="str">
        <x:v>Teleostei</x:v>
      </x:c>
      <x:c r="H133" s="17" t="n">
        <x:v>1</x:v>
      </x:c>
      <x:c r="I133" s="17" t="str">
        <x:v>No</x:v>
      </x:c>
      <x:c r="J133" s="17" t="str">
        <x:v>Ecological proxy</x:v>
      </x:c>
      <x:c r="K133" s="52" t="n">
        <x:v>6.75</x:v>
      </x:c>
      <x:c r="L133" s="52" t="n">
        <x:f>IF(K133="","",K133-C133)</x:f>
        <x:v>0.009999999999999787</x:v>
      </x:c>
      <x:c r="M133" s="52" t="n">
        <x:f>IF(L133="","",ABS(L133))</x:f>
        <x:v>0.009999999999999787</x:v>
      </x:c>
      <x:c r="N133" s="53" t="n">
        <x:f>IF(M133="","",M133/C133*100)</x:f>
        <x:v>0.14836795252225204</x:v>
      </x:c>
      <x:c r="O133" s="17" t="str">
        <x:v>Predicted</x:v>
      </x:c>
    </x:row>
    <x:row r="134" ht="15" hidden="0" customHeight="1">
      <x:c r="A134" s="17" t="str">
        <x:v>Wuenschel et al. 2024</x:v>
      </x:c>
      <x:c r="B134" s="17" t="str">
        <x:v>Scomber scombrus</x:v>
      </x:c>
      <x:c r="C134" s="52" t="n">
        <x:v>5.73</x:v>
      </x:c>
      <x:c r="D134" s="17" t="str">
        <x:v>Scomber</x:v>
      </x:c>
      <x:c r="E134" s="17" t="str">
        <x:v>Scombridae</x:v>
      </x:c>
      <x:c r="F134" s="17" t="str">
        <x:v>Small pelagic forage fishes</x:v>
      </x:c>
      <x:c r="G134" s="17" t="str">
        <x:v>Teleostei</x:v>
      </x:c>
      <x:c r="H134" s="17" t="n">
        <x:v>1</x:v>
      </x:c>
      <x:c r="I134" s="17" t="str">
        <x:v>Yes</x:v>
      </x:c>
      <x:c r="J134" s="17" t="str">
        <x:v>Exact taxon</x:v>
      </x:c>
      <x:c r="K134" s="52" t="n">
        <x:v>7.9</x:v>
      </x:c>
      <x:c r="L134" s="52" t="n">
        <x:f>IF(K134="","",K134-C134)</x:f>
        <x:v>2.17</x:v>
      </x:c>
      <x:c r="M134" s="52" t="n">
        <x:f>IF(L134="","",ABS(L134))</x:f>
        <x:v>2.17</x:v>
      </x:c>
      <x:c r="N134" s="53" t="n">
        <x:f>IF(M134="","",M134/C134*100)</x:f>
        <x:v>37.87085514834205</x:v>
      </x:c>
      <x:c r="O134" s="17" t="str">
        <x:v>Predicted</x:v>
      </x:c>
    </x:row>
  </x:sheetData>
  <x:conditionalFormatting sqref="M2:M134">
    <x:cfRule type="colorScale" priority="1">
      <x:colorScale>
        <x:cfvo type="min"/>
        <x:cfvo type="percentile" val="50"/>
        <x:cfvo type="max"/>
        <x:color rgb="FFE2F0D9"/>
        <x:color rgb="FFFFF2CC"/>
        <x:color rgb="FFF4CCCC"/>
      </x:colorScale>
    </x:cfRule>
  </x:conditionalFormatting>
  <x:conditionalFormatting sqref="O2:O134">
    <x:cfRule type="expression" dxfId="0" priority="2">
      <x:formula>O2="No prediction"</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28" hidden="0" customWidth="1"/>
    <x:col min="3" max="3" width="10.380000114440918" hidden="0" customWidth="1"/>
    <x:col min="4" max="4" width="24" hidden="0" customWidth="1"/>
    <x:col min="5" max="5" width="24" hidden="0" customWidth="1"/>
    <x:col min="6" max="6" width="24" hidden="0" customWidth="1"/>
    <x:col min="7" max="7" width="24" hidden="0" customWidth="1"/>
    <x:col min="8" max="8" width="12.380000114440918" hidden="0" customWidth="1"/>
    <x:col min="9" max="9" width="10.25" hidden="0" customWidth="1"/>
    <x:col min="10" max="10" width="5.25" hidden="0" customWidth="1"/>
    <x:col min="11" max="11" width="11.630000114440918" hidden="0" customWidth="1"/>
    <x:col min="12" max="12" width="6.380000114440918" hidden="0" customWidth="1"/>
    <x:col min="13" max="13" width="11.630000114440918" hidden="0" customWidth="1"/>
    <x:col min="14" max="14" width="36" hidden="0" customWidth="1"/>
  </x:cols>
  <x:sheetData>
    <x:row r="1" ht="39.599998474121094" hidden="0" customHeight="1">
      <x:c r="A1" s="24" t="str">
        <x:v>Held-out source</x:v>
      </x:c>
      <x:c r="B1" s="24" t="str">
        <x:v>Taxon</x:v>
      </x:c>
      <x:c r="C1" s="24" t="str">
        <x:v>Observed ED</x:v>
      </x:c>
      <x:c r="D1" s="24" t="str">
        <x:v>Genus</x:v>
      </x:c>
      <x:c r="E1" s="24" t="str">
        <x:v>Family</x:v>
      </x:c>
      <x:c r="F1" s="24" t="str">
        <x:v>Energy proxy group</x:v>
      </x:c>
      <x:c r="G1" s="24" t="str">
        <x:v>Broad group</x:v>
      </x:c>
      <x:c r="H1" s="24" t="str">
        <x:v>Selected level</x:v>
      </x:c>
      <x:c r="I1" s="24" t="str">
        <x:v>Predicted ED</x:v>
      </x:c>
      <x:c r="J1" s="24" t="str">
        <x:v>Error</x:v>
      </x:c>
      <x:c r="K1" s="24" t="str">
        <x:v>Absolute error</x:v>
      </x:c>
      <x:c r="L1" s="24" t="str">
        <x:v>APE (%)</x:v>
      </x:c>
      <x:c r="M1" s="24" t="str">
        <x:v>Coverage class</x:v>
      </x:c>
      <x:c r="N1" s="24" t="str">
        <x:v>Note</x:v>
      </x:c>
    </x:row>
    <x:row r="2" ht="15" hidden="0" customHeight="1">
      <x:c r="A2" s="17" t="str">
        <x:v>Cauffopé &amp; Heymans 2005</x:v>
      </x:c>
      <x:c r="B2" s="17" t="str">
        <x:v>Ammodytes hexapterus</x:v>
      </x:c>
      <x:c r="C2" s="52" t="n">
        <x:v>4.95</x:v>
      </x:c>
      <x:c r="D2" s="17" t="str">
        <x:v>Ammodytes</x:v>
      </x:c>
      <x:c r="E2" s="17" t="str">
        <x:v>Ammodytidae</x:v>
      </x:c>
      <x:c r="F2" s="17" t="str">
        <x:v>Small pelagic forage fishes</x:v>
      </x:c>
      <x:c r="G2" s="17" t="str">
        <x:v>Teleostei</x:v>
      </x:c>
      <x:c r="H2" s="17" t="str">
        <x:v>Genus</x:v>
      </x:c>
      <x:c r="I2" s="52" t="n">
        <x:v>5.9</x:v>
      </x:c>
      <x:c r="J2" s="52" t="n">
        <x:v>0.9500000000000002</x:v>
      </x:c>
      <x:c r="K2" s="52" t="n">
        <x:v>0.9500000000000002</x:v>
      </x:c>
      <x:c r="L2" s="53" t="n">
        <x:v>19.191919191919197</x:v>
      </x:c>
      <x:c r="M2" s="17" t="str">
        <x:v>Predicted</x:v>
      </x:c>
      <x:c r="N2" s="17" t="str">
        <x:v>Exact taxon absent from all remaining sources</x:v>
      </x:c>
    </x:row>
    <x:row r="3" ht="15" hidden="0" customHeight="1">
      <x:c r="A3" s="17" t="str">
        <x:v>Cauffopé &amp; Heymans 2005</x:v>
      </x:c>
      <x:c r="B3" s="17" t="str">
        <x:v>Aphrodita hastata</x:v>
      </x:c>
      <x:c r="C3" s="52" t="n">
        <x:v>2.03</x:v>
      </x:c>
      <x:c r="D3" s="17" t="str">
        <x:v>Aphrodita</x:v>
      </x:c>
      <x:c r="E3" s="17" t="str">
        <x:v>Aphroditidae</x:v>
      </x:c>
      <x:c r="F3" s="17" t="str">
        <x:v>Other benthic polychaetes</x:v>
      </x:c>
      <x:c r="G3" s="17" t="str">
        <x:v>Annelida</x:v>
      </x:c>
      <x:c r="H3" s="17" t="str">
        <x:v>Ecological proxy</x:v>
      </x:c>
      <x:c r="I3" s="52" t="n">
        <x:v>2.045</x:v>
      </x:c>
      <x:c r="J3" s="52" t="n">
        <x:v>0.015000000000000124</x:v>
      </x:c>
      <x:c r="K3" s="52" t="n">
        <x:v>0.015000000000000124</x:v>
      </x:c>
      <x:c r="L3" s="53" t="n">
        <x:v>0.7389162561576417</x:v>
      </x:c>
      <x:c r="M3" s="17" t="str">
        <x:v>Predicted</x:v>
      </x:c>
      <x:c r="N3" s="17" t="str">
        <x:v>Exact taxon absent from all remaining sources</x:v>
      </x:c>
    </x:row>
    <x:row r="4" ht="15" hidden="0" customHeight="1">
      <x:c r="A4" s="17" t="str">
        <x:v>Cauffopé &amp; Heymans 2005</x:v>
      </x:c>
      <x:c r="B4" s="17" t="str">
        <x:v>Clinocardium ciliatum</x:v>
      </x:c>
      <x:c r="C4" s="52" t="n">
        <x:v>1.57</x:v>
      </x:c>
      <x:c r="D4" s="17" t="str">
        <x:v>Clinocardium</x:v>
      </x:c>
      <x:c r="E4" s="17" t="str">
        <x:v>Cardiidae</x:v>
      </x:c>
      <x:c r="F4" s="17" t="str">
        <x:v>Benthic bivalves</x:v>
      </x:c>
      <x:c r="G4" s="17" t="str">
        <x:v>Mollusca (non-cephalopods)</x:v>
      </x:c>
      <x:c r="H4" s="17" t="str">
        <x:v>Ecological proxy</x:v>
      </x:c>
      <x:c r="I4" s="52" t="n">
        <x:v>2.15</x:v>
      </x:c>
      <x:c r="J4" s="52" t="n">
        <x:v>0.5799999999999998</x:v>
      </x:c>
      <x:c r="K4" s="52" t="n">
        <x:v>0.5799999999999998</x:v>
      </x:c>
      <x:c r="L4" s="53" t="n">
        <x:v>36.942675159235655</x:v>
      </x:c>
      <x:c r="M4" s="17" t="str">
        <x:v>Predicted</x:v>
      </x:c>
      <x:c r="N4" s="17" t="str">
        <x:v>Exact taxon absent from all remaining sources</x:v>
      </x:c>
    </x:row>
    <x:row r="5" ht="15" hidden="0" customHeight="1">
      <x:c r="A5" s="17" t="str">
        <x:v>Cauffopé &amp; Heymans 2005</x:v>
      </x:c>
      <x:c r="B5" s="17" t="str">
        <x:v>Clupea pallasii</x:v>
      </x:c>
      <x:c r="C5" s="52" t="n">
        <x:v>7</x:v>
      </x:c>
      <x:c r="D5" s="17" t="str">
        <x:v>Clupea</x:v>
      </x:c>
      <x:c r="E5" s="17" t="str">
        <x:v>Clupeidae</x:v>
      </x:c>
      <x:c r="F5" s="17" t="str">
        <x:v>Small pelagic forage fishes</x:v>
      </x:c>
      <x:c r="G5" s="17" t="str">
        <x:v>Teleostei</x:v>
      </x:c>
      <x:c r="H5" s="17" t="str">
        <x:v>Genus</x:v>
      </x:c>
      <x:c r="I5" s="52" t="n">
        <x:v>7.955</x:v>
      </x:c>
      <x:c r="J5" s="52" t="n">
        <x:v>0.9550000000000001</x:v>
      </x:c>
      <x:c r="K5" s="52" t="n">
        <x:v>0.9550000000000001</x:v>
      </x:c>
      <x:c r="L5" s="53" t="n">
        <x:v>13.642857142857142</x:v>
      </x:c>
      <x:c r="M5" s="17" t="str">
        <x:v>Predicted</x:v>
      </x:c>
      <x:c r="N5" s="17" t="str">
        <x:v>Exact taxon absent from all remaining sources</x:v>
      </x:c>
    </x:row>
    <x:row r="6" ht="15" hidden="0" customHeight="1">
      <x:c r="A6" s="17" t="str">
        <x:v>Cauffopé &amp; Heymans 2005</x:v>
      </x:c>
      <x:c r="B6" s="17" t="str">
        <x:v>Cololabis saira</x:v>
      </x:c>
      <x:c r="C6" s="52" t="n">
        <x:v>7</x:v>
      </x:c>
      <x:c r="D6" s="17" t="str">
        <x:v>Cololabis</x:v>
      </x:c>
      <x:c r="E6" s="17" t="str">
        <x:v>Scomberesocidae</x:v>
      </x:c>
      <x:c r="F6" s="17" t="str">
        <x:v>Small pelagic forage fishes</x:v>
      </x:c>
      <x:c r="G6" s="17" t="str">
        <x:v>Teleostei</x:v>
      </x:c>
      <x:c r="H6" s="17" t="str">
        <x:v>Family</x:v>
      </x:c>
      <x:c r="I6" s="52" t="n">
        <x:v>5.8</x:v>
      </x:c>
      <x:c r="J6" s="52" t="n">
        <x:v>-1.2000000000000002</x:v>
      </x:c>
      <x:c r="K6" s="52" t="n">
        <x:v>1.2000000000000002</x:v>
      </x:c>
      <x:c r="L6" s="53" t="n">
        <x:v>17.142857142857146</x:v>
      </x:c>
      <x:c r="M6" s="17" t="str">
        <x:v>Predicted</x:v>
      </x:c>
      <x:c r="N6" s="17" t="str">
        <x:v>Exact taxon absent from all remaining sources</x:v>
      </x:c>
    </x:row>
    <x:row r="7" ht="15" hidden="0" customHeight="1">
      <x:c r="A7" s="17" t="str">
        <x:v>Cauffopé &amp; Heymans 2005</x:v>
      </x:c>
      <x:c r="B7" s="17" t="str">
        <x:v>Dosidicus gigas</x:v>
      </x:c>
      <x:c r="C7" s="52" t="n">
        <x:v>4.22</x:v>
      </x:c>
      <x:c r="D7" s="17" t="str">
        <x:v>Dosidicus</x:v>
      </x:c>
      <x:c r="E7" s="17" t="str">
        <x:v>Ommastrephidae</x:v>
      </x:c>
      <x:c r="F7" s="17" t="str">
        <x:v>Pelagic squids</x:v>
      </x:c>
      <x:c r="G7" s="17" t="str">
        <x:v>Cephalopoda</x:v>
      </x:c>
      <x:c r="H7" s="17" t="str">
        <x:v>Family</x:v>
      </x:c>
      <x:c r="I7" s="52" t="n">
        <x:v>4.4</x:v>
      </x:c>
      <x:c r="J7" s="52" t="n">
        <x:v>0.1800000000000006</x:v>
      </x:c>
      <x:c r="K7" s="52" t="n">
        <x:v>0.1800000000000006</x:v>
      </x:c>
      <x:c r="L7" s="53" t="n">
        <x:v>4.265402843601911</x:v>
      </x:c>
      <x:c r="M7" s="17" t="str">
        <x:v>Predicted</x:v>
      </x:c>
      <x:c r="N7" s="17" t="str">
        <x:v>Exact taxon absent from all remaining sources</x:v>
      </x:c>
    </x:row>
    <x:row r="8" ht="15" hidden="0" customHeight="1">
      <x:c r="A8" s="17" t="str">
        <x:v>Cauffopé &amp; Heymans 2005</x:v>
      </x:c>
      <x:c r="B8" s="17" t="str">
        <x:v>Euphausia superba</x:v>
      </x:c>
      <x:c r="C8" s="52" t="n">
        <x:v>3.73</x:v>
      </x:c>
      <x:c r="D8" s="17" t="str">
        <x:v>Euphausia</x:v>
      </x:c>
      <x:c r="E8" s="17" t="str">
        <x:v>Euphausiidae</x:v>
      </x:c>
      <x:c r="F8" s="17" t="str">
        <x:v>Pelagic planktonic euphausiids</x:v>
      </x:c>
      <x:c r="G8" s="17" t="str">
        <x:v>Crustacea</x:v>
      </x:c>
      <x:c r="H8" s="17" t="str">
        <x:v>Family</x:v>
      </x:c>
      <x:c r="I8" s="52" t="n">
        <x:v>3.9</x:v>
      </x:c>
      <x:c r="J8" s="52" t="n">
        <x:v>0.16999999999999993</x:v>
      </x:c>
      <x:c r="K8" s="52" t="n">
        <x:v>0.16999999999999993</x:v>
      </x:c>
      <x:c r="L8" s="53" t="n">
        <x:v>4.55764075067024</x:v>
      </x:c>
      <x:c r="M8" s="17" t="str">
        <x:v>Predicted</x:v>
      </x:c>
      <x:c r="N8" s="17" t="str">
        <x:v>Exact taxon absent from all remaining sources</x:v>
      </x:c>
    </x:row>
    <x:row r="9" ht="15" hidden="0" customHeight="1">
      <x:c r="A9" s="17" t="str">
        <x:v>Cauffopé &amp; Heymans 2005</x:v>
      </x:c>
      <x:c r="B9" s="17" t="str">
        <x:v>Luabrinereis fragilis</x:v>
      </x:c>
      <x:c r="C9" s="52" t="n">
        <x:v>4.43</x:v>
      </x:c>
      <x:c r="D9" s="17" t="str">
        <x:v>Luabrinereis</x:v>
      </x:c>
      <x:c r="E9" s="17" t="str"/>
      <x:c r="F9" s="17" t="str">
        <x:v>Other benthic polychaetes</x:v>
      </x:c>
      <x:c r="G9" s="17" t="str">
        <x:v>Annelida</x:v>
      </x:c>
      <x:c r="H9" s="17" t="str">
        <x:v>Ecological proxy</x:v>
      </x:c>
      <x:c r="I9" s="52" t="n">
        <x:v>2.045</x:v>
      </x:c>
      <x:c r="J9" s="52" t="n">
        <x:v>-2.385</x:v>
      </x:c>
      <x:c r="K9" s="52" t="n">
        <x:v>2.385</x:v>
      </x:c>
      <x:c r="L9" s="53" t="n">
        <x:v>53.83747178329571</x:v>
      </x:c>
      <x:c r="M9" s="17" t="str">
        <x:v>Predicted</x:v>
      </x:c>
      <x:c r="N9" s="17" t="str">
        <x:v>Exact taxon absent from all remaining sources</x:v>
      </x:c>
    </x:row>
    <x:row r="10" ht="15" hidden="0" customHeight="1">
      <x:c r="A10" s="17" t="str">
        <x:v>Cauffopé &amp; Heymans 2005</x:v>
      </x:c>
      <x:c r="B10" s="17" t="str">
        <x:v>Mallotus villosus</x:v>
      </x:c>
      <x:c r="C10" s="52" t="n">
        <x:v>7.03</x:v>
      </x:c>
      <x:c r="D10" s="17" t="str">
        <x:v>Mallotus</x:v>
      </x:c>
      <x:c r="E10" s="17" t="str">
        <x:v>Osmeridae</x:v>
      </x:c>
      <x:c r="F10" s="17" t="str">
        <x:v>Small pelagic forage fishes</x:v>
      </x:c>
      <x:c r="G10" s="17" t="str">
        <x:v>Teleostei</x:v>
      </x:c>
      <x:c r="H10" s="17" t="str">
        <x:v>Ecological proxy</x:v>
      </x:c>
      <x:c r="I10" s="52" t="n">
        <x:v>6.5</x:v>
      </x:c>
      <x:c r="J10" s="52" t="n">
        <x:v>-0.5300000000000002</x:v>
      </x:c>
      <x:c r="K10" s="52" t="n">
        <x:v>0.5300000000000002</x:v>
      </x:c>
      <x:c r="L10" s="53" t="n">
        <x:v>7.5391180654338585</x:v>
      </x:c>
      <x:c r="M10" s="17" t="str">
        <x:v>Predicted</x:v>
      </x:c>
      <x:c r="N10" s="17" t="str">
        <x:v>Exact taxon absent from all remaining sources</x:v>
      </x:c>
    </x:row>
    <x:row r="11" ht="15" hidden="0" customHeight="1">
      <x:c r="A11" s="17" t="str">
        <x:v>Cauffopé &amp; Heymans 2005</x:v>
      </x:c>
      <x:c r="B11" s="17" t="str">
        <x:v>Nethys ciliata</x:v>
      </x:c>
      <x:c r="C11" s="52" t="n">
        <x:v>3.13</x:v>
      </x:c>
      <x:c r="D11" s="17" t="str">
        <x:v>Nethys</x:v>
      </x:c>
      <x:c r="E11" s="17" t="str"/>
      <x:c r="F11" s="17" t="str">
        <x:v>Other benthic polychaetes</x:v>
      </x:c>
      <x:c r="G11" s="17" t="str">
        <x:v>Annelida</x:v>
      </x:c>
      <x:c r="H11" s="17" t="str">
        <x:v>Ecological proxy</x:v>
      </x:c>
      <x:c r="I11" s="52" t="n">
        <x:v>2.045</x:v>
      </x:c>
      <x:c r="J11" s="52" t="n">
        <x:v>-1.085</x:v>
      </x:c>
      <x:c r="K11" s="52" t="n">
        <x:v>1.085</x:v>
      </x:c>
      <x:c r="L11" s="53" t="n">
        <x:v>34.66453674121406</x:v>
      </x:c>
      <x:c r="M11" s="17" t="str">
        <x:v>Predicted</x:v>
      </x:c>
      <x:c r="N11" s="17" t="str">
        <x:v>Exact taxon absent from all remaining sources</x:v>
      </x:c>
    </x:row>
    <x:row r="12" ht="15" hidden="0" customHeight="1">
      <x:c r="A12" s="17" t="str">
        <x:v>Cauffopé &amp; Heymans 2005</x:v>
      </x:c>
      <x:c r="B12" s="17" t="str">
        <x:v>Ophiodon elongatus</x:v>
      </x:c>
      <x:c r="C12" s="52" t="n">
        <x:v>3.98</x:v>
      </x:c>
      <x:c r="D12" s="17" t="str">
        <x:v>Ophiodon</x:v>
      </x:c>
      <x:c r="E12" s="17" t="str">
        <x:v>Hexagrammidae</x:v>
      </x:c>
      <x:c r="F12" s="17" t="str">
        <x:v>Other demersal fishes</x:v>
      </x:c>
      <x:c r="G12" s="17" t="str">
        <x:v>Teleostei</x:v>
      </x:c>
      <x:c r="H12" s="17" t="str">
        <x:v>Ecological proxy</x:v>
      </x:c>
      <x:c r="I12" s="52" t="n">
        <x:v>5.06</x:v>
      </x:c>
      <x:c r="J12" s="52" t="n">
        <x:v>1.0799999999999996</x:v>
      </x:c>
      <x:c r="K12" s="52" t="n">
        <x:v>1.0799999999999996</x:v>
      </x:c>
      <x:c r="L12" s="53" t="n">
        <x:v>27.13567839195979</x:v>
      </x:c>
      <x:c r="M12" s="17" t="str">
        <x:v>Predicted</x:v>
      </x:c>
      <x:c r="N12" s="17" t="str">
        <x:v>Exact taxon absent from all remaining sources</x:v>
      </x:c>
    </x:row>
    <x:row r="13" ht="15" hidden="0" customHeight="1">
      <x:c r="A13" s="17" t="str">
        <x:v>Cauffopé &amp; Heymans 2005</x:v>
      </x:c>
      <x:c r="B13" s="17" t="str">
        <x:v>Pleurogrammus monopterygius</x:v>
      </x:c>
      <x:c r="C13" s="52" t="n">
        <x:v>4.02</x:v>
      </x:c>
      <x:c r="D13" s="17" t="str">
        <x:v>Pleurogrammus</x:v>
      </x:c>
      <x:c r="E13" s="17" t="str">
        <x:v>Hexagrammidae</x:v>
      </x:c>
      <x:c r="F13" s="17" t="str">
        <x:v>Other demersal fishes</x:v>
      </x:c>
      <x:c r="G13" s="17" t="str">
        <x:v>Teleostei</x:v>
      </x:c>
      <x:c r="H13" s="17" t="str">
        <x:v>Ecological proxy</x:v>
      </x:c>
      <x:c r="I13" s="52" t="n">
        <x:v>5.06</x:v>
      </x:c>
      <x:c r="J13" s="52" t="n">
        <x:v>1.04</x:v>
      </x:c>
      <x:c r="K13" s="52" t="n">
        <x:v>1.04</x:v>
      </x:c>
      <x:c r="L13" s="53" t="n">
        <x:v>25.87064676616916</x:v>
      </x:c>
      <x:c r="M13" s="17" t="str">
        <x:v>Predicted</x:v>
      </x:c>
      <x:c r="N13" s="17" t="str">
        <x:v>Exact taxon absent from all remaining sources</x:v>
      </x:c>
    </x:row>
    <x:row r="14" ht="15" hidden="0" customHeight="1">
      <x:c r="A14" s="17" t="str">
        <x:v>Cauffopé &amp; Heymans 2005</x:v>
      </x:c>
      <x:c r="B14" s="17" t="str">
        <x:v>Symplectoteuthis ovalaniensis</x:v>
      </x:c>
      <x:c r="C14" s="52" t="n">
        <x:v>5.59</x:v>
      </x:c>
      <x:c r="D14" s="17" t="str">
        <x:v>Symplectoteuthis</x:v>
      </x:c>
      <x:c r="E14" s="17" t="str">
        <x:v>Ommastrephidae</x:v>
      </x:c>
      <x:c r="F14" s="17" t="str">
        <x:v>Pelagic squids</x:v>
      </x:c>
      <x:c r="G14" s="17" t="str">
        <x:v>Cephalopoda</x:v>
      </x:c>
      <x:c r="H14" s="17" t="str">
        <x:v>Family</x:v>
      </x:c>
      <x:c r="I14" s="52" t="n">
        <x:v>4.4</x:v>
      </x:c>
      <x:c r="J14" s="52" t="n">
        <x:v>-1.1899999999999995</x:v>
      </x:c>
      <x:c r="K14" s="52" t="n">
        <x:v>1.1899999999999995</x:v>
      </x:c>
      <x:c r="L14" s="53" t="n">
        <x:v>21.288014311270118</x:v>
      </x:c>
      <x:c r="M14" s="17" t="str">
        <x:v>Predicted</x:v>
      </x:c>
      <x:c r="N14" s="17" t="str">
        <x:v>Exact taxon absent from all remaining sources</x:v>
      </x:c>
    </x:row>
    <x:row r="15" ht="15" hidden="0" customHeight="1">
      <x:c r="A15" s="17" t="str">
        <x:v>Cauffopé &amp; Heymans 2005</x:v>
      </x:c>
      <x:c r="B15" s="17" t="str">
        <x:v>Thaleichthys pacificus</x:v>
      </x:c>
      <x:c r="C15" s="52" t="n">
        <x:v>11.05</x:v>
      </x:c>
      <x:c r="D15" s="17" t="str">
        <x:v>Thaleichthys</x:v>
      </x:c>
      <x:c r="E15" s="17" t="str">
        <x:v>Osmeridae</x:v>
      </x:c>
      <x:c r="F15" s="17" t="str">
        <x:v>Small pelagic forage fishes</x:v>
      </x:c>
      <x:c r="G15" s="17" t="str">
        <x:v>Teleostei</x:v>
      </x:c>
      <x:c r="H15" s="17" t="str">
        <x:v>Ecological proxy</x:v>
      </x:c>
      <x:c r="I15" s="52" t="n">
        <x:v>6.5</x:v>
      </x:c>
      <x:c r="J15" s="52" t="n">
        <x:v>-4.550000000000001</x:v>
      </x:c>
      <x:c r="K15" s="52" t="n">
        <x:v>4.550000000000001</x:v>
      </x:c>
      <x:c r="L15" s="53" t="n">
        <x:v>41.1764705882353</x:v>
      </x:c>
      <x:c r="M15" s="17" t="str">
        <x:v>Predicted</x:v>
      </x:c>
      <x:c r="N15" s="17" t="str">
        <x:v>Exact taxon absent from all remaining sources</x:v>
      </x:c>
    </x:row>
    <x:row r="16" ht="15" hidden="0" customHeight="1">
      <x:c r="A16" s="17" t="str">
        <x:v>Cauffopé &amp; Heymans 2005</x:v>
      </x:c>
      <x:c r="B16" s="17" t="str">
        <x:v>Yoldia sapotilla</x:v>
      </x:c>
      <x:c r="C16" s="52" t="n">
        <x:v>2.88</x:v>
      </x:c>
      <x:c r="D16" s="17" t="str">
        <x:v>Yoldia</x:v>
      </x:c>
      <x:c r="E16" s="17" t="str">
        <x:v>Yoldiidae</x:v>
      </x:c>
      <x:c r="F16" s="17" t="str">
        <x:v>Benthic bivalves</x:v>
      </x:c>
      <x:c r="G16" s="17" t="str">
        <x:v>Mollusca (non-cephalopods)</x:v>
      </x:c>
      <x:c r="H16" s="17" t="str">
        <x:v>Ecological proxy</x:v>
      </x:c>
      <x:c r="I16" s="52" t="n">
        <x:v>2.15</x:v>
      </x:c>
      <x:c r="J16" s="52" t="n">
        <x:v>-0.73</x:v>
      </x:c>
      <x:c r="K16" s="52" t="n">
        <x:v>0.73</x:v>
      </x:c>
      <x:c r="L16" s="53" t="n">
        <x:v>25.34722222222222</x:v>
      </x:c>
      <x:c r="M16" s="17" t="str">
        <x:v>Predicted</x:v>
      </x:c>
      <x:c r="N16" s="17" t="str">
        <x:v>Exact taxon absent from all remaining sources</x:v>
      </x:c>
    </x:row>
    <x:row r="17" ht="15" hidden="0" customHeight="1">
      <x:c r="A17" s="17" t="str">
        <x:v>Cauffopé &amp; Heymans 2005</x:v>
      </x:c>
      <x:c r="B17" s="17" t="str">
        <x:v>Yoldia thraciaeformis</x:v>
      </x:c>
      <x:c r="C17" s="52" t="n">
        <x:v>2.13</x:v>
      </x:c>
      <x:c r="D17" s="17" t="str">
        <x:v>Yoldia</x:v>
      </x:c>
      <x:c r="E17" s="17" t="str">
        <x:v>Yoldiidae</x:v>
      </x:c>
      <x:c r="F17" s="17" t="str">
        <x:v>Benthic bivalves</x:v>
      </x:c>
      <x:c r="G17" s="17" t="str">
        <x:v>Mollusca (non-cephalopods)</x:v>
      </x:c>
      <x:c r="H17" s="17" t="str">
        <x:v>Ecological proxy</x:v>
      </x:c>
      <x:c r="I17" s="52" t="n">
        <x:v>2.15</x:v>
      </x:c>
      <x:c r="J17" s="52" t="n">
        <x:v>0.020000000000000018</x:v>
      </x:c>
      <x:c r="K17" s="52" t="n">
        <x:v>0.020000000000000018</x:v>
      </x:c>
      <x:c r="L17" s="53" t="n">
        <x:v>0.9389671361502356</x:v>
      </x:c>
      <x:c r="M17" s="17" t="str">
        <x:v>Predicted</x:v>
      </x:c>
      <x:c r="N17" s="17" t="str">
        <x:v>Exact taxon absent from all remaining sources</x:v>
      </x:c>
    </x:row>
    <x:row r="18" ht="15" hidden="0" customHeight="1">
      <x:c r="A18" s="17" t="str">
        <x:v>Lawson et al. 2018</x:v>
      </x:c>
      <x:c r="B18" s="17" t="str">
        <x:v>Acanthopagrus australis</x:v>
      </x:c>
      <x:c r="C18" s="52" t="n">
        <x:v>5.75</x:v>
      </x:c>
      <x:c r="D18" s="17" t="str">
        <x:v>Acanthopagrus</x:v>
      </x:c>
      <x:c r="E18" s="17" t="str">
        <x:v>Sparidae</x:v>
      </x:c>
      <x:c r="F18" s="17" t="str">
        <x:v>Other demersal fishes</x:v>
      </x:c>
      <x:c r="G18" s="17" t="str">
        <x:v>Teleostei</x:v>
      </x:c>
      <x:c r="H18" s="17" t="str">
        <x:v>Genus</x:v>
      </x:c>
      <x:c r="I18" s="52" t="n">
        <x:v>5.97</x:v>
      </x:c>
      <x:c r="J18" s="52" t="n">
        <x:v>0.21999999999999975</x:v>
      </x:c>
      <x:c r="K18" s="52" t="n">
        <x:v>0.21999999999999975</x:v>
      </x:c>
      <x:c r="L18" s="53" t="n">
        <x:v>3.826086956521735</x:v>
      </x:c>
      <x:c r="M18" s="17" t="str">
        <x:v>Predicted</x:v>
      </x:c>
      <x:c r="N18" s="17" t="str">
        <x:v>Exact taxon absent from all remaining sources</x:v>
      </x:c>
    </x:row>
    <x:row r="19" ht="15" hidden="0" customHeight="1">
      <x:c r="A19" s="17" t="str">
        <x:v>Lawson et al. 2018</x:v>
      </x:c>
      <x:c r="B19" s="17" t="str">
        <x:v>Gerres subfasciatus</x:v>
      </x:c>
      <x:c r="C19" s="52" t="n">
        <x:v>5.2</x:v>
      </x:c>
      <x:c r="D19" s="17" t="str">
        <x:v>Gerres</x:v>
      </x:c>
      <x:c r="E19" s="17" t="str">
        <x:v>Gerreidae</x:v>
      </x:c>
      <x:c r="F19" s="17" t="str">
        <x:v>Other demersal fishes</x:v>
      </x:c>
      <x:c r="G19" s="17" t="str">
        <x:v>Teleostei</x:v>
      </x:c>
      <x:c r="H19" s="17" t="str">
        <x:v>Ecological proxy</x:v>
      </x:c>
      <x:c r="I19" s="52" t="n">
        <x:v>4.7</x:v>
      </x:c>
      <x:c r="J19" s="52" t="n">
        <x:v>-0.5</x:v>
      </x:c>
      <x:c r="K19" s="52" t="n">
        <x:v>0.5</x:v>
      </x:c>
      <x:c r="L19" s="53" t="n">
        <x:v>9.615384615384615</x:v>
      </x:c>
      <x:c r="M19" s="17" t="str">
        <x:v>Predicted</x:v>
      </x:c>
      <x:c r="N19" s="17" t="str">
        <x:v>Exact taxon absent from all remaining sources</x:v>
      </x:c>
    </x:row>
    <x:row r="20" ht="15" hidden="0" customHeight="1">
      <x:c r="A20" s="17" t="str">
        <x:v>Lawson et al. 2018</x:v>
      </x:c>
      <x:c r="B20" s="17" t="str">
        <x:v>Liza argentea</x:v>
      </x:c>
      <x:c r="C20" s="52" t="n">
        <x:v>5.39</x:v>
      </x:c>
      <x:c r="D20" s="17" t="str">
        <x:v>Liza</x:v>
      </x:c>
      <x:c r="E20" s="17" t="str">
        <x:v>Mugilidae</x:v>
      </x:c>
      <x:c r="F20" s="17" t="str">
        <x:v>Estuarine/coastal fishes</x:v>
      </x:c>
      <x:c r="G20" s="17" t="str">
        <x:v>Teleostei</x:v>
      </x:c>
      <x:c r="H20" s="17" t="str">
        <x:v>Genus</x:v>
      </x:c>
      <x:c r="I20" s="52" t="n">
        <x:v>6.5</x:v>
      </x:c>
      <x:c r="J20" s="52" t="n">
        <x:v>1.1100000000000003</x:v>
      </x:c>
      <x:c r="K20" s="52" t="n">
        <x:v>1.1100000000000003</x:v>
      </x:c>
      <x:c r="L20" s="53" t="n">
        <x:v>20.593692022263458</x:v>
      </x:c>
      <x:c r="M20" s="17" t="str">
        <x:v>Predicted</x:v>
      </x:c>
      <x:c r="N20" s="17" t="str">
        <x:v>Exact taxon absent from all remaining sources</x:v>
      </x:c>
    </x:row>
    <x:row r="21" ht="15" hidden="0" customHeight="1">
      <x:c r="A21" s="17" t="str">
        <x:v>Lawson et al. 2018</x:v>
      </x:c>
      <x:c r="B21" s="17" t="str">
        <x:v>Metapenaeus macleayi</x:v>
      </x:c>
      <x:c r="C21" s="52" t="n">
        <x:v>3.84</x:v>
      </x:c>
      <x:c r="D21" s="17" t="str">
        <x:v>Metapenaeus</x:v>
      </x:c>
      <x:c r="E21" s="17" t="str">
        <x:v>Penaeidae</x:v>
      </x:c>
      <x:c r="F21" s="17" t="str">
        <x:v>Decapods (ecology unspecified)</x:v>
      </x:c>
      <x:c r="G21" s="17" t="str">
        <x:v>Crustacea</x:v>
      </x:c>
      <x:c r="H21" s="17" t="str">
        <x:v>Ecological proxy</x:v>
      </x:c>
      <x:c r="I21" s="52" t="n">
        <x:v>4.1</x:v>
      </x:c>
      <x:c r="J21" s="52" t="n">
        <x:v>0.2599999999999998</x:v>
      </x:c>
      <x:c r="K21" s="52" t="n">
        <x:v>0.2599999999999998</x:v>
      </x:c>
      <x:c r="L21" s="53" t="n">
        <x:v>6.770833333333329</x:v>
      </x:c>
      <x:c r="M21" s="17" t="str">
        <x:v>Predicted</x:v>
      </x:c>
      <x:c r="N21" s="17" t="str">
        <x:v>Exact taxon absent from all remaining sources</x:v>
      </x:c>
    </x:row>
    <x:row r="22" ht="15" hidden="0" customHeight="1">
      <x:c r="A22" s="17" t="str">
        <x:v>Lawson et al. 2018</x:v>
      </x:c>
      <x:c r="B22" s="17" t="str">
        <x:v>Pomatomus saltatrix</x:v>
      </x:c>
      <x:c r="C22" s="52" t="n">
        <x:v>7.06</x:v>
      </x:c>
      <x:c r="D22" s="17" t="str">
        <x:v>Pomatomus</x:v>
      </x:c>
      <x:c r="E22" s="17" t="str">
        <x:v>Pomatomidae</x:v>
      </x:c>
      <x:c r="F22" s="17" t="str">
        <x:v>Pelagic predatory fishes</x:v>
      </x:c>
      <x:c r="G22" s="17" t="str">
        <x:v>Teleostei</x:v>
      </x:c>
      <x:c r="H22" s="17" t="str">
        <x:v>Broad</x:v>
      </x:c>
      <x:c r="I22" s="52" t="n">
        <x:v>5.64</x:v>
      </x:c>
      <x:c r="J22" s="52" t="n">
        <x:v>-1.42</x:v>
      </x:c>
      <x:c r="K22" s="52" t="n">
        <x:v>1.42</x:v>
      </x:c>
      <x:c r="L22" s="53" t="n">
        <x:v>20.113314447592067</x:v>
      </x:c>
      <x:c r="M22" s="17" t="str">
        <x:v>Predicted</x:v>
      </x:c>
      <x:c r="N22" s="17" t="str">
        <x:v>Exact taxon absent from all remaining sources</x:v>
      </x:c>
    </x:row>
    <x:row r="23" ht="15" hidden="0" customHeight="1">
      <x:c r="A23" s="17" t="str">
        <x:v>Lawson et al. 2018</x:v>
      </x:c>
      <x:c r="B23" s="17" t="str">
        <x:v>Scomber australasicus</x:v>
      </x:c>
      <x:c r="C23" s="52" t="n">
        <x:v>5.43</x:v>
      </x:c>
      <x:c r="D23" s="17" t="str">
        <x:v>Scomber</x:v>
      </x:c>
      <x:c r="E23" s="17" t="str">
        <x:v>Scombridae</x:v>
      </x:c>
      <x:c r="F23" s="17" t="str">
        <x:v>Small pelagic forage fishes</x:v>
      </x:c>
      <x:c r="G23" s="17" t="str">
        <x:v>Teleostei</x:v>
      </x:c>
      <x:c r="H23" s="17" t="str">
        <x:v>Genus</x:v>
      </x:c>
      <x:c r="I23" s="52" t="n">
        <x:v>6.815</x:v>
      </x:c>
      <x:c r="J23" s="52" t="n">
        <x:v>1.3850000000000007</x:v>
      </x:c>
      <x:c r="K23" s="52" t="n">
        <x:v>1.3850000000000007</x:v>
      </x:c>
      <x:c r="L23" s="53" t="n">
        <x:v>25.506445672191543</x:v>
      </x:c>
      <x:c r="M23" s="17" t="str">
        <x:v>Predicted</x:v>
      </x:c>
      <x:c r="N23" s="17" t="str">
        <x:v>Exact taxon absent from all remaining sources</x:v>
      </x:c>
    </x:row>
    <x:row r="24" ht="15" hidden="0" customHeight="1">
      <x:c r="A24" s="17" t="str">
        <x:v>Lawson et al. 2018</x:v>
      </x:c>
      <x:c r="B24" s="17" t="str">
        <x:v>Sillago ciliata</x:v>
      </x:c>
      <x:c r="C24" s="52" t="n">
        <x:v>5.02</x:v>
      </x:c>
      <x:c r="D24" s="17" t="str">
        <x:v>Sillago</x:v>
      </x:c>
      <x:c r="E24" s="17" t="str">
        <x:v>Sillaginidae</x:v>
      </x:c>
      <x:c r="F24" s="17" t="str">
        <x:v>Other demersal fishes</x:v>
      </x:c>
      <x:c r="G24" s="17" t="str">
        <x:v>Teleostei</x:v>
      </x:c>
      <x:c r="H24" s="17" t="str">
        <x:v>Ecological proxy</x:v>
      </x:c>
      <x:c r="I24" s="52" t="n">
        <x:v>4.7</x:v>
      </x:c>
      <x:c r="J24" s="52" t="n">
        <x:v>-0.3199999999999994</x:v>
      </x:c>
      <x:c r="K24" s="52" t="n">
        <x:v>0.3199999999999994</x:v>
      </x:c>
      <x:c r="L24" s="53" t="n">
        <x:v>6.3745019920318615</x:v>
      </x:c>
      <x:c r="M24" s="17" t="str">
        <x:v>Predicted</x:v>
      </x:c>
      <x:c r="N24" s="17" t="str">
        <x:v>Exact taxon absent from all remaining sources</x:v>
      </x:c>
    </x:row>
    <x:row r="25" ht="15" hidden="0" customHeight="1">
      <x:c r="A25" s="17" t="str">
        <x:v>Lawson et al. 2018</x:v>
      </x:c>
      <x:c r="B25" s="17" t="str">
        <x:v>Trachurus novaezelandiae</x:v>
      </x:c>
      <x:c r="C25" s="52" t="n">
        <x:v>5.78</x:v>
      </x:c>
      <x:c r="D25" s="17" t="str">
        <x:v>Trachurus</x:v>
      </x:c>
      <x:c r="E25" s="17" t="str">
        <x:v>Carangidae</x:v>
      </x:c>
      <x:c r="F25" s="17" t="str">
        <x:v>Small pelagic forage fishes</x:v>
      </x:c>
      <x:c r="G25" s="17" t="str">
        <x:v>Teleostei</x:v>
      </x:c>
      <x:c r="H25" s="17" t="str">
        <x:v>Genus</x:v>
      </x:c>
      <x:c r="I25" s="52" t="n">
        <x:v>6</x:v>
      </x:c>
      <x:c r="J25" s="52" t="n">
        <x:v>0.21999999999999975</x:v>
      </x:c>
      <x:c r="K25" s="52" t="n">
        <x:v>0.21999999999999975</x:v>
      </x:c>
      <x:c r="L25" s="53" t="n">
        <x:v>3.806228373702418</x:v>
      </x:c>
      <x:c r="M25" s="17" t="str">
        <x:v>Predicted</x:v>
      </x:c>
      <x:c r="N25" s="17" t="str">
        <x:v>Exact taxon absent from all remaining sources</x:v>
      </x:c>
    </x:row>
    <x:row r="26" ht="15" hidden="0" customHeight="1">
      <x:c r="A26" s="17" t="str">
        <x:v>Nitschke et al. 2026</x:v>
      </x:c>
      <x:c r="B26" s="17" t="str">
        <x:v>Acanthopagrus butcheri</x:v>
      </x:c>
      <x:c r="C26" s="52" t="n">
        <x:v>5.97</x:v>
      </x:c>
      <x:c r="D26" s="17" t="str">
        <x:v>Acanthopagrus</x:v>
      </x:c>
      <x:c r="E26" s="17" t="str">
        <x:v>Sparidae</x:v>
      </x:c>
      <x:c r="F26" s="17" t="str">
        <x:v>Other demersal fishes</x:v>
      </x:c>
      <x:c r="G26" s="17" t="str">
        <x:v>Teleostei</x:v>
      </x:c>
      <x:c r="H26" s="17" t="str">
        <x:v>Genus</x:v>
      </x:c>
      <x:c r="I26" s="52" t="n">
        <x:v>5.75</x:v>
      </x:c>
      <x:c r="J26" s="52" t="n">
        <x:v>-0.21999999999999975</x:v>
      </x:c>
      <x:c r="K26" s="52" t="n">
        <x:v>0.21999999999999975</x:v>
      </x:c>
      <x:c r="L26" s="53" t="n">
        <x:v>3.6850921273031787</x:v>
      </x:c>
      <x:c r="M26" s="17" t="str">
        <x:v>Predicted</x:v>
      </x:c>
      <x:c r="N26" s="17" t="str">
        <x:v>Exact taxon absent from all remaining sources</x:v>
      </x:c>
    </x:row>
    <x:row r="27" ht="15" hidden="0" customHeight="1">
      <x:c r="A27" s="17" t="str">
        <x:v>Nitschke et al. 2026</x:v>
      </x:c>
      <x:c r="B27" s="17" t="str">
        <x:v>Afurcagobius tamarensis</x:v>
      </x:c>
      <x:c r="C27" s="52" t="n">
        <x:v>5</x:v>
      </x:c>
      <x:c r="D27" s="17" t="str">
        <x:v>Afurcagobius</x:v>
      </x:c>
      <x:c r="E27" s="17" t="str">
        <x:v>Gobiidae</x:v>
      </x:c>
      <x:c r="F27" s="17" t="str">
        <x:v>Small demersal zoobenthivorous fishes</x:v>
      </x:c>
      <x:c r="G27" s="17" t="str">
        <x:v>Teleostei</x:v>
      </x:c>
      <x:c r="H27" s="17" t="str">
        <x:v>Family</x:v>
      </x:c>
      <x:c r="I27" s="52" t="n">
        <x:v>4.26</x:v>
      </x:c>
      <x:c r="J27" s="52" t="n">
        <x:v>-0.7400000000000002</x:v>
      </x:c>
      <x:c r="K27" s="52" t="n">
        <x:v>0.7400000000000002</x:v>
      </x:c>
      <x:c r="L27" s="53" t="n">
        <x:v>14.800000000000004</x:v>
      </x:c>
      <x:c r="M27" s="17" t="str">
        <x:v>Predicted</x:v>
      </x:c>
      <x:c r="N27" s="17" t="str">
        <x:v>Exact taxon absent from all remaining sources</x:v>
      </x:c>
    </x:row>
    <x:row r="28" ht="15" hidden="0" customHeight="1">
      <x:c r="A28" s="17" t="str">
        <x:v>Nitschke et al. 2026</x:v>
      </x:c>
      <x:c r="B28" s="17" t="str">
        <x:v>Aglaophamus australiensis</x:v>
      </x:c>
      <x:c r="C28" s="52" t="n">
        <x:v>1.06</x:v>
      </x:c>
      <x:c r="D28" s="17" t="str">
        <x:v>Aglaophamus</x:v>
      </x:c>
      <x:c r="E28" s="17" t="str">
        <x:v>Nephtyidae</x:v>
      </x:c>
      <x:c r="F28" s="17" t="str">
        <x:v>Other benthic polychaetes</x:v>
      </x:c>
      <x:c r="G28" s="17" t="str">
        <x:v>Annelida</x:v>
      </x:c>
      <x:c r="H28" s="17" t="str">
        <x:v>Ecological proxy</x:v>
      </x:c>
      <x:c r="I28" s="52" t="n">
        <x:v>3.06</x:v>
      </x:c>
      <x:c r="J28" s="52" t="n">
        <x:v>2</x:v>
      </x:c>
      <x:c r="K28" s="52" t="n">
        <x:v>2</x:v>
      </x:c>
      <x:c r="L28" s="53" t="n">
        <x:v>188.67924528301884</x:v>
      </x:c>
      <x:c r="M28" s="17" t="str">
        <x:v>Predicted</x:v>
      </x:c>
      <x:c r="N28" s="17" t="str">
        <x:v>Exact taxon absent from all remaining sources</x:v>
      </x:c>
    </x:row>
    <x:row r="29" ht="15" hidden="0" customHeight="1">
      <x:c r="A29" s="17" t="str">
        <x:v>Nitschke et al. 2026</x:v>
      </x:c>
      <x:c r="B29" s="17" t="str">
        <x:v>Aldrichetta forsteri</x:v>
      </x:c>
      <x:c r="C29" s="52" t="n">
        <x:v>6.14</x:v>
      </x:c>
      <x:c r="D29" s="17" t="str">
        <x:v>Aldrichetta</x:v>
      </x:c>
      <x:c r="E29" s="17" t="str">
        <x:v>Mugilidae</x:v>
      </x:c>
      <x:c r="F29" s="17" t="str">
        <x:v>Estuarine/coastal fishes</x:v>
      </x:c>
      <x:c r="G29" s="17" t="str">
        <x:v>Teleostei</x:v>
      </x:c>
      <x:c r="H29" s="17" t="str">
        <x:v>Family</x:v>
      </x:c>
      <x:c r="I29" s="52" t="n">
        <x:v>5.945</x:v>
      </x:c>
      <x:c r="J29" s="52" t="n">
        <x:v>-0.1949999999999994</x:v>
      </x:c>
      <x:c r="K29" s="52" t="n">
        <x:v>0.1949999999999994</x:v>
      </x:c>
      <x:c r="L29" s="53" t="n">
        <x:v>3.175895765472303</x:v>
      </x:c>
      <x:c r="M29" s="17" t="str">
        <x:v>Predicted</x:v>
      </x:c>
      <x:c r="N29" s="17" t="str">
        <x:v>Exact taxon absent from all remaining sources</x:v>
      </x:c>
    </x:row>
    <x:row r="30" ht="15" hidden="0" customHeight="1">
      <x:c r="A30" s="17" t="str">
        <x:v>Nitschke et al. 2026</x:v>
      </x:c>
      <x:c r="B30" s="17" t="str">
        <x:v>Amarinus laevis</x:v>
      </x:c>
      <x:c r="C30" s="52" t="n">
        <x:v>2.13</x:v>
      </x:c>
      <x:c r="D30" s="17" t="str">
        <x:v>Amarinus</x:v>
      </x:c>
      <x:c r="E30" s="17" t="str">
        <x:v>Hymenosomatidae</x:v>
      </x:c>
      <x:c r="F30" s="17" t="str">
        <x:v>Benthic decapods</x:v>
      </x:c>
      <x:c r="G30" s="17" t="str">
        <x:v>Crustacea</x:v>
      </x:c>
      <x:c r="H30" s="17" t="str">
        <x:v>Ecological proxy</x:v>
      </x:c>
      <x:c r="I30" s="52" t="n">
        <x:v>2.63</x:v>
      </x:c>
      <x:c r="J30" s="52" t="n">
        <x:v>0.5</x:v>
      </x:c>
      <x:c r="K30" s="52" t="n">
        <x:v>0.5</x:v>
      </x:c>
      <x:c r="L30" s="53" t="n">
        <x:v>23.474178403755868</x:v>
      </x:c>
      <x:c r="M30" s="17" t="str">
        <x:v>Predicted</x:v>
      </x:c>
      <x:c r="N30" s="17" t="str">
        <x:v>Exact taxon absent from all remaining sources</x:v>
      </x:c>
    </x:row>
    <x:row r="31" ht="15" hidden="0" customHeight="1">
      <x:c r="A31" s="17" t="str">
        <x:v>Nitschke et al. 2026</x:v>
      </x:c>
      <x:c r="B31" s="17" t="str">
        <x:v>Ammotretis rostratus</x:v>
      </x:c>
      <x:c r="C31" s="52" t="n">
        <x:v>4.72</x:v>
      </x:c>
      <x:c r="D31" s="17" t="str">
        <x:v>Ammotretis</x:v>
      </x:c>
      <x:c r="E31" s="17" t="str">
        <x:v>Pleuronectidae</x:v>
      </x:c>
      <x:c r="F31" s="17" t="str">
        <x:v>Demersal flatfishes</x:v>
      </x:c>
      <x:c r="G31" s="17" t="str">
        <x:v>Teleostei</x:v>
      </x:c>
      <x:c r="H31" s="17" t="str">
        <x:v>Family</x:v>
      </x:c>
      <x:c r="I31" s="52" t="n">
        <x:v>5.8</x:v>
      </x:c>
      <x:c r="J31" s="52" t="n">
        <x:v>1.08</x:v>
      </x:c>
      <x:c r="K31" s="52" t="n">
        <x:v>1.08</x:v>
      </x:c>
      <x:c r="L31" s="53" t="n">
        <x:v>22.88135593220339</x:v>
      </x:c>
      <x:c r="M31" s="17" t="str">
        <x:v>Predicted</x:v>
      </x:c>
      <x:c r="N31" s="17" t="str">
        <x:v>Exact taxon absent from all remaining sources</x:v>
      </x:c>
    </x:row>
    <x:row r="32" ht="15" hidden="0" customHeight="1">
      <x:c r="A32" s="17" t="str">
        <x:v>Nitschke et al. 2026</x:v>
      </x:c>
      <x:c r="B32" s="17" t="str">
        <x:v>Argyrosomus japonicus</x:v>
      </x:c>
      <x:c r="C32" s="52" t="n">
        <x:v>5.56</x:v>
      </x:c>
      <x:c r="D32" s="17" t="str">
        <x:v>Argyrosomus</x:v>
      </x:c>
      <x:c r="E32" s="17" t="str">
        <x:v>Sciaenidae</x:v>
      </x:c>
      <x:c r="F32" s="17" t="str">
        <x:v>Other demersal fishes</x:v>
      </x:c>
      <x:c r="G32" s="17" t="str">
        <x:v>Teleostei</x:v>
      </x:c>
      <x:c r="H32" s="17" t="str">
        <x:v>Ecological proxy</x:v>
      </x:c>
      <x:c r="I32" s="52" t="n">
        <x:v>4.7</x:v>
      </x:c>
      <x:c r="J32" s="52" t="n">
        <x:v>-0.8599999999999994</x:v>
      </x:c>
      <x:c r="K32" s="52" t="n">
        <x:v>0.8599999999999994</x:v>
      </x:c>
      <x:c r="L32" s="53" t="n">
        <x:v>15.467625899280565</x:v>
      </x:c>
      <x:c r="M32" s="17" t="str">
        <x:v>Predicted</x:v>
      </x:c>
      <x:c r="N32" s="17" t="str">
        <x:v>Exact taxon absent from all remaining sources</x:v>
      </x:c>
    </x:row>
    <x:row r="33" ht="15" hidden="0" customHeight="1">
      <x:c r="A33" s="17" t="str">
        <x:v>Nitschke et al. 2026</x:v>
      </x:c>
      <x:c r="B33" s="17" t="str">
        <x:v>Arripis truttaceus</x:v>
      </x:c>
      <x:c r="C33" s="52" t="n">
        <x:v>5.92</x:v>
      </x:c>
      <x:c r="D33" s="17" t="str">
        <x:v>Arripis</x:v>
      </x:c>
      <x:c r="E33" s="17" t="str">
        <x:v>Arripidae</x:v>
      </x:c>
      <x:c r="F33" s="17" t="str">
        <x:v>Other pelagic fishes</x:v>
      </x:c>
      <x:c r="G33" s="17" t="str">
        <x:v>Teleostei</x:v>
      </x:c>
      <x:c r="H33" s="17" t="str">
        <x:v>Broad</x:v>
      </x:c>
      <x:c r="I33" s="52" t="n">
        <x:v>5.675</x:v>
      </x:c>
      <x:c r="J33" s="52" t="n">
        <x:v>-0.2450000000000001</x:v>
      </x:c>
      <x:c r="K33" s="52" t="n">
        <x:v>0.2450000000000001</x:v>
      </x:c>
      <x:c r="L33" s="53" t="n">
        <x:v>4.138513513513516</x:v>
      </x:c>
      <x:c r="M33" s="17" t="str">
        <x:v>Predicted</x:v>
      </x:c>
      <x:c r="N33" s="17" t="str">
        <x:v>Exact taxon absent from all remaining sources</x:v>
      </x:c>
    </x:row>
    <x:row r="34" ht="15" hidden="0" customHeight="1">
      <x:c r="A34" s="17" t="str">
        <x:v>Nitschke et al. 2026</x:v>
      </x:c>
      <x:c r="B34" s="17" t="str">
        <x:v>Atherinosoma microstoma</x:v>
      </x:c>
      <x:c r="C34" s="52" t="n">
        <x:v>5.32</x:v>
      </x:c>
      <x:c r="D34" s="17" t="str">
        <x:v>Atherinosoma</x:v>
      </x:c>
      <x:c r="E34" s="17" t="str">
        <x:v>Atherinidae</x:v>
      </x:c>
      <x:c r="F34" s="17" t="str">
        <x:v>Small pelagic forage fishes</x:v>
      </x:c>
      <x:c r="G34" s="17" t="str">
        <x:v>Teleostei</x:v>
      </x:c>
      <x:c r="H34" s="17" t="str">
        <x:v>Family</x:v>
      </x:c>
      <x:c r="I34" s="52" t="n">
        <x:v>4.23</x:v>
      </x:c>
      <x:c r="J34" s="52" t="n">
        <x:v>-1.0899999999999999</x:v>
      </x:c>
      <x:c r="K34" s="52" t="n">
        <x:v>1.0899999999999999</x:v>
      </x:c>
      <x:c r="L34" s="53" t="n">
        <x:v>20.488721804511275</x:v>
      </x:c>
      <x:c r="M34" s="17" t="str">
        <x:v>Predicted</x:v>
      </x:c>
      <x:c r="N34" s="17" t="str">
        <x:v>Exact taxon absent from all remaining sources</x:v>
      </x:c>
    </x:row>
    <x:row r="35" ht="15" hidden="0" customHeight="1">
      <x:c r="A35" s="17" t="str">
        <x:v>Nitschke et al. 2026</x:v>
      </x:c>
      <x:c r="B35" s="17" t="str">
        <x:v>Australonereis ehlersi</x:v>
      </x:c>
      <x:c r="C35" s="52" t="n">
        <x:v>1.28</x:v>
      </x:c>
      <x:c r="D35" s="17" t="str">
        <x:v>Australonereis</x:v>
      </x:c>
      <x:c r="E35" s="17" t="str">
        <x:v>Nereididae</x:v>
      </x:c>
      <x:c r="F35" s="17" t="str">
        <x:v>Other benthic polychaetes</x:v>
      </x:c>
      <x:c r="G35" s="17" t="str">
        <x:v>Annelida</x:v>
      </x:c>
      <x:c r="H35" s="17" t="str">
        <x:v>Ecological proxy</x:v>
      </x:c>
      <x:c r="I35" s="52" t="n">
        <x:v>3.06</x:v>
      </x:c>
      <x:c r="J35" s="52" t="n">
        <x:v>1.78</x:v>
      </x:c>
      <x:c r="K35" s="52" t="n">
        <x:v>1.78</x:v>
      </x:c>
      <x:c r="L35" s="53" t="n">
        <x:v>139.0625</x:v>
      </x:c>
      <x:c r="M35" s="17" t="str">
        <x:v>Predicted</x:v>
      </x:c>
      <x:c r="N35" s="17" t="str">
        <x:v>Exact taxon absent from all remaining sources</x:v>
      </x:c>
    </x:row>
    <x:row r="36" ht="15" hidden="0" customHeight="1">
      <x:c r="A36" s="17" t="str">
        <x:v>Nitschke et al. 2026</x:v>
      </x:c>
      <x:c r="B36" s="17" t="str">
        <x:v>Ficopomatus enigmaticus</x:v>
      </x:c>
      <x:c r="C36" s="52" t="n">
        <x:v>1.45</x:v>
      </x:c>
      <x:c r="D36" s="17" t="str">
        <x:v>Ficopomatus</x:v>
      </x:c>
      <x:c r="E36" s="17" t="str">
        <x:v>Serpulidae</x:v>
      </x:c>
      <x:c r="F36" s="17" t="str">
        <x:v>Tube-dwelling polychaetes</x:v>
      </x:c>
      <x:c r="G36" s="17" t="str">
        <x:v>Annelida</x:v>
      </x:c>
      <x:c r="H36" s="17" t="str">
        <x:v>Broad</x:v>
      </x:c>
      <x:c r="I36" s="52" t="n">
        <x:v>2.7249999999999996</x:v>
      </x:c>
      <x:c r="J36" s="52" t="n">
        <x:v>1.2749999999999997</x:v>
      </x:c>
      <x:c r="K36" s="52" t="n">
        <x:v>1.2749999999999997</x:v>
      </x:c>
      <x:c r="L36" s="53" t="n">
        <x:v>87.93103448275859</x:v>
      </x:c>
      <x:c r="M36" s="17" t="str">
        <x:v>Predicted</x:v>
      </x:c>
      <x:c r="N36" s="17" t="str">
        <x:v>Exact taxon absent from all remaining sources</x:v>
      </x:c>
    </x:row>
    <x:row r="37" ht="15" hidden="0" customHeight="1">
      <x:c r="A37" s="17" t="str">
        <x:v>Nitschke et al. 2026</x:v>
      </x:c>
      <x:c r="B37" s="17" t="str">
        <x:v>Hiatula alba</x:v>
      </x:c>
      <x:c r="C37" s="52" t="n">
        <x:v>1.76</x:v>
      </x:c>
      <x:c r="D37" s="17" t="str">
        <x:v>Hiatula</x:v>
      </x:c>
      <x:c r="E37" s="17" t="str"/>
      <x:c r="F37" s="17" t="str">
        <x:v>Subtidal benthic molluscs</x:v>
      </x:c>
      <x:c r="G37" s="17" t="str">
        <x:v>Mollusca (non-cephalopods)</x:v>
      </x:c>
      <x:c r="H37" s="17" t="str">
        <x:v>Broad</x:v>
      </x:c>
      <x:c r="I37" s="52" t="n">
        <x:v>2.13</x:v>
      </x:c>
      <x:c r="J37" s="52" t="n">
        <x:v>0.3699999999999999</x:v>
      </x:c>
      <x:c r="K37" s="52" t="n">
        <x:v>0.3699999999999999</x:v>
      </x:c>
      <x:c r="L37" s="53" t="n">
        <x:v>21.022727272727266</x:v>
      </x:c>
      <x:c r="M37" s="17" t="str">
        <x:v>Predicted</x:v>
      </x:c>
      <x:c r="N37" s="17" t="str">
        <x:v>Exact taxon absent from all remaining sources</x:v>
      </x:c>
    </x:row>
    <x:row r="38" ht="15" hidden="0" customHeight="1">
      <x:c r="A38" s="17" t="str">
        <x:v>Nitschke et al. 2026</x:v>
      </x:c>
      <x:c r="B38" s="17" t="str">
        <x:v>Paragrapsus gaimardii</x:v>
      </x:c>
      <x:c r="C38" s="52" t="n">
        <x:v>3.64</x:v>
      </x:c>
      <x:c r="D38" s="17" t="str">
        <x:v>Paragrapsus</x:v>
      </x:c>
      <x:c r="E38" s="17" t="str">
        <x:v>Varunidae</x:v>
      </x:c>
      <x:c r="F38" s="17" t="str">
        <x:v>Benthic decapods</x:v>
      </x:c>
      <x:c r="G38" s="17" t="str">
        <x:v>Crustacea</x:v>
      </x:c>
      <x:c r="H38" s="17" t="str">
        <x:v>Ecological proxy</x:v>
      </x:c>
      <x:c r="I38" s="52" t="n">
        <x:v>2.63</x:v>
      </x:c>
      <x:c r="J38" s="52" t="n">
        <x:v>-1.0100000000000002</x:v>
      </x:c>
      <x:c r="K38" s="52" t="n">
        <x:v>1.0100000000000002</x:v>
      </x:c>
      <x:c r="L38" s="53" t="n">
        <x:v>27.747252747252755</x:v>
      </x:c>
      <x:c r="M38" s="17" t="str">
        <x:v>Predicted</x:v>
      </x:c>
      <x:c r="N38" s="17" t="str">
        <x:v>Exact taxon absent from all remaining sources</x:v>
      </x:c>
    </x:row>
    <x:row r="39" ht="15" hidden="0" customHeight="1">
      <x:c r="A39" s="17" t="str">
        <x:v>Nitschke et al. 2026</x:v>
      </x:c>
      <x:c r="B39" s="17" t="str">
        <x:v>Phyllodoce novaehollandiae</x:v>
      </x:c>
      <x:c r="C39" s="52" t="n">
        <x:v>0.96</x:v>
      </x:c>
      <x:c r="D39" s="17" t="str">
        <x:v>Phyllodoce</x:v>
      </x:c>
      <x:c r="E39" s="17" t="str">
        <x:v>Phyllodocidae</x:v>
      </x:c>
      <x:c r="F39" s="17" t="str">
        <x:v>Other benthic polychaetes</x:v>
      </x:c>
      <x:c r="G39" s="17" t="str">
        <x:v>Annelida</x:v>
      </x:c>
      <x:c r="H39" s="17" t="str">
        <x:v>Ecological proxy</x:v>
      </x:c>
      <x:c r="I39" s="52" t="n">
        <x:v>3.06</x:v>
      </x:c>
      <x:c r="J39" s="52" t="n">
        <x:v>2.1</x:v>
      </x:c>
      <x:c r="K39" s="52" t="n">
        <x:v>2.1</x:v>
      </x:c>
      <x:c r="L39" s="53" t="n">
        <x:v>218.75</x:v>
      </x:c>
      <x:c r="M39" s="17" t="str">
        <x:v>Predicted</x:v>
      </x:c>
      <x:c r="N39" s="17" t="str">
        <x:v>Exact taxon absent from all remaining sources</x:v>
      </x:c>
    </x:row>
    <x:row r="40" ht="15" hidden="0" customHeight="1">
      <x:c r="A40" s="17" t="str">
        <x:v>Nitschke et al. 2026</x:v>
      </x:c>
      <x:c r="B40" s="17" t="str">
        <x:v>Pseudaphritis urvillii</x:v>
      </x:c>
      <x:c r="C40" s="52" t="n">
        <x:v>6.35</x:v>
      </x:c>
      <x:c r="D40" s="17" t="str">
        <x:v>Pseudaphritis</x:v>
      </x:c>
      <x:c r="E40" s="17" t="str">
        <x:v>Pseudaphritidae</x:v>
      </x:c>
      <x:c r="F40" s="17" t="str">
        <x:v>Other demersal fishes</x:v>
      </x:c>
      <x:c r="G40" s="17" t="str">
        <x:v>Teleostei</x:v>
      </x:c>
      <x:c r="H40" s="17" t="str">
        <x:v>Ecological proxy</x:v>
      </x:c>
      <x:c r="I40" s="52" t="n">
        <x:v>4.7</x:v>
      </x:c>
      <x:c r="J40" s="52" t="n">
        <x:v>-1.6499999999999995</x:v>
      </x:c>
      <x:c r="K40" s="52" t="n">
        <x:v>1.6499999999999995</x:v>
      </x:c>
      <x:c r="L40" s="53" t="n">
        <x:v>25.98425196850393</x:v>
      </x:c>
      <x:c r="M40" s="17" t="str">
        <x:v>Predicted</x:v>
      </x:c>
      <x:c r="N40" s="17" t="str">
        <x:v>Exact taxon absent from all remaining sources</x:v>
      </x:c>
    </x:row>
    <x:row r="41" ht="15" hidden="0" customHeight="1">
      <x:c r="A41" s="17" t="str">
        <x:v>Nitschke et al. 2026</x:v>
      </x:c>
      <x:c r="B41" s="17" t="str">
        <x:v>Rhombosolea tapirina</x:v>
      </x:c>
      <x:c r="C41" s="52" t="n">
        <x:v>4.99</x:v>
      </x:c>
      <x:c r="D41" s="17" t="str">
        <x:v>Rhombosolea</x:v>
      </x:c>
      <x:c r="E41" s="17" t="str">
        <x:v>Pleuronectidae</x:v>
      </x:c>
      <x:c r="F41" s="17" t="str">
        <x:v>Demersal flatfishes</x:v>
      </x:c>
      <x:c r="G41" s="17" t="str">
        <x:v>Teleostei</x:v>
      </x:c>
      <x:c r="H41" s="17" t="str">
        <x:v>Family</x:v>
      </x:c>
      <x:c r="I41" s="52" t="n">
        <x:v>5.8</x:v>
      </x:c>
      <x:c r="J41" s="52" t="n">
        <x:v>0.8099999999999996</x:v>
      </x:c>
      <x:c r="K41" s="52" t="n">
        <x:v>0.8099999999999996</x:v>
      </x:c>
      <x:c r="L41" s="53" t="n">
        <x:v>16.23246492985971</x:v>
      </x:c>
      <x:c r="M41" s="17" t="str">
        <x:v>Predicted</x:v>
      </x:c>
      <x:c r="N41" s="17" t="str">
        <x:v>Exact taxon absent from all remaining sources</x:v>
      </x:c>
    </x:row>
    <x:row r="42" ht="15" hidden="0" customHeight="1">
      <x:c r="A42" s="17" t="str">
        <x:v>Nitschke et al. 2026</x:v>
      </x:c>
      <x:c r="B42" s="17" t="str">
        <x:v>Simplisetia aequisetis</x:v>
      </x:c>
      <x:c r="C42" s="52" t="n">
        <x:v>1.05</x:v>
      </x:c>
      <x:c r="D42" s="17" t="str">
        <x:v>Simplisetia</x:v>
      </x:c>
      <x:c r="E42" s="17" t="str">
        <x:v>Nereididae</x:v>
      </x:c>
      <x:c r="F42" s="17" t="str">
        <x:v>Other benthic polychaetes</x:v>
      </x:c>
      <x:c r="G42" s="17" t="str">
        <x:v>Annelida</x:v>
      </x:c>
      <x:c r="H42" s="17" t="str">
        <x:v>Ecological proxy</x:v>
      </x:c>
      <x:c r="I42" s="52" t="n">
        <x:v>3.06</x:v>
      </x:c>
      <x:c r="J42" s="52" t="n">
        <x:v>2.01</x:v>
      </x:c>
      <x:c r="K42" s="52" t="n">
        <x:v>2.01</x:v>
      </x:c>
      <x:c r="L42" s="53" t="n">
        <x:v>191.4285714285714</x:v>
      </x:c>
      <x:c r="M42" s="17" t="str">
        <x:v>Predicted</x:v>
      </x:c>
      <x:c r="N42" s="17" t="str">
        <x:v>Exact taxon absent from all remaining sources</x:v>
      </x:c>
    </x:row>
    <x:row r="43" ht="15" hidden="0" customHeight="1">
      <x:c r="A43" s="17" t="str">
        <x:v>Nitschke et al. 2026</x:v>
      </x:c>
      <x:c r="B43" s="17" t="str">
        <x:v>Spisula trigonella</x:v>
      </x:c>
      <x:c r="C43" s="52" t="n">
        <x:v>2.15</x:v>
      </x:c>
      <x:c r="D43" s="17" t="str">
        <x:v>Spisula</x:v>
      </x:c>
      <x:c r="E43" s="17" t="str">
        <x:v>Mactridae</x:v>
      </x:c>
      <x:c r="F43" s="17" t="str">
        <x:v>Benthic bivalves</x:v>
      </x:c>
      <x:c r="G43" s="17" t="str">
        <x:v>Mollusca (non-cephalopods)</x:v>
      </x:c>
      <x:c r="H43" s="17" t="str">
        <x:v>Ecological proxy</x:v>
      </x:c>
      <x:c r="I43" s="52" t="n">
        <x:v>2.13</x:v>
      </x:c>
      <x:c r="J43" s="52" t="n">
        <x:v>-0.020000000000000018</x:v>
      </x:c>
      <x:c r="K43" s="52" t="n">
        <x:v>0.020000000000000018</x:v>
      </x:c>
      <x:c r="L43" s="53" t="n">
        <x:v>0.9302325581395358</x:v>
      </x:c>
      <x:c r="M43" s="17" t="str">
        <x:v>Predicted</x:v>
      </x:c>
      <x:c r="N43" s="17" t="str">
        <x:v>Exact taxon absent from all remaining sources</x:v>
      </x:c>
    </x:row>
    <x:row r="44" ht="15" hidden="0" customHeight="1">
      <x:c r="A44" s="17" t="str">
        <x:v>Nitschke et al. 2026</x:v>
      </x:c>
      <x:c r="B44" s="17" t="str">
        <x:v>Tasmanogobius lasti</x:v>
      </x:c>
      <x:c r="C44" s="52" t="n">
        <x:v>5.64</x:v>
      </x:c>
      <x:c r="D44" s="17" t="str">
        <x:v>Tasmanogobius</x:v>
      </x:c>
      <x:c r="E44" s="17" t="str">
        <x:v>Gobiidae</x:v>
      </x:c>
      <x:c r="F44" s="17" t="str">
        <x:v>Small demersal zoobenthivorous fishes</x:v>
      </x:c>
      <x:c r="G44" s="17" t="str">
        <x:v>Teleostei</x:v>
      </x:c>
      <x:c r="H44" s="17" t="str">
        <x:v>Family</x:v>
      </x:c>
      <x:c r="I44" s="52" t="n">
        <x:v>4.26</x:v>
      </x:c>
      <x:c r="J44" s="52" t="n">
        <x:v>-1.38</x:v>
      </x:c>
      <x:c r="K44" s="52" t="n">
        <x:v>1.38</x:v>
      </x:c>
      <x:c r="L44" s="53" t="n">
        <x:v>24.46808510638298</x:v>
      </x:c>
      <x:c r="M44" s="17" t="str">
        <x:v>Predicted</x:v>
      </x:c>
      <x:c r="N44" s="17" t="str">
        <x:v>Exact taxon absent from all remaining sources</x:v>
      </x:c>
    </x:row>
    <x:row r="45" ht="15" hidden="0" customHeight="1">
      <x:c r="A45" s="17" t="str">
        <x:v>Price et al. 2024</x:v>
      </x:c>
      <x:c r="B45" s="17" t="str">
        <x:v>Doryteuthis opalescens</x:v>
      </x:c>
      <x:c r="C45" s="52" t="n">
        <x:v>4.85</x:v>
      </x:c>
      <x:c r="D45" s="17" t="str">
        <x:v>Doryteuthis</x:v>
      </x:c>
      <x:c r="E45" s="17" t="str">
        <x:v>Loliginidae</x:v>
      </x:c>
      <x:c r="F45" s="17" t="str">
        <x:v>Pelagic squids</x:v>
      </x:c>
      <x:c r="G45" s="17" t="str">
        <x:v>Cephalopoda</x:v>
      </x:c>
      <x:c r="H45" s="17" t="str">
        <x:v>Genus</x:v>
      </x:c>
      <x:c r="I45" s="52" t="n">
        <x:v>5.16</x:v>
      </x:c>
      <x:c r="J45" s="52" t="n">
        <x:v>0.3100000000000005</x:v>
      </x:c>
      <x:c r="K45" s="52" t="n">
        <x:v>0.3100000000000005</x:v>
      </x:c>
      <x:c r="L45" s="53" t="n">
        <x:v>6.391752577319599</x:v>
      </x:c>
      <x:c r="M45" s="17" t="str">
        <x:v>Predicted</x:v>
      </x:c>
      <x:c r="N45" s="17" t="str">
        <x:v>Exact taxon absent from all remaining sources</x:v>
      </x:c>
    </x:row>
    <x:row r="46" ht="15" hidden="0" customHeight="1">
      <x:c r="A46" s="17" t="str">
        <x:v>Price et al. 2024</x:v>
      </x:c>
      <x:c r="B46" s="17" t="str">
        <x:v>Engraulis mordax</x:v>
      </x:c>
      <x:c r="C46" s="52" t="n">
        <x:v>7.85</x:v>
      </x:c>
      <x:c r="D46" s="17" t="str">
        <x:v>Engraulis</x:v>
      </x:c>
      <x:c r="E46" s="17" t="str">
        <x:v>Engraulidae</x:v>
      </x:c>
      <x:c r="F46" s="17" t="str">
        <x:v>Small pelagic forage fishes</x:v>
      </x:c>
      <x:c r="G46" s="17" t="str">
        <x:v>Teleostei</x:v>
      </x:c>
      <x:c r="H46" s="17" t="str">
        <x:v>Genus</x:v>
      </x:c>
      <x:c r="I46" s="52" t="n">
        <x:v>5.8</x:v>
      </x:c>
      <x:c r="J46" s="52" t="n">
        <x:v>-2.05</x:v>
      </x:c>
      <x:c r="K46" s="52" t="n">
        <x:v>2.05</x:v>
      </x:c>
      <x:c r="L46" s="53" t="n">
        <x:v>26.11464968152866</x:v>
      </x:c>
      <x:c r="M46" s="17" t="str">
        <x:v>Predicted</x:v>
      </x:c>
      <x:c r="N46" s="17" t="str">
        <x:v>Exact taxon absent from all remaining sources</x:v>
      </x:c>
    </x:row>
    <x:row r="47" ht="15" hidden="0" customHeight="1">
      <x:c r="A47" s="17" t="str">
        <x:v>Spitz et al. 2010</x:v>
      </x:c>
      <x:c r="B47" s="17" t="str">
        <x:v>Acanthephyra purpurea</x:v>
      </x:c>
      <x:c r="C47" s="52" t="n">
        <x:v>5.3</x:v>
      </x:c>
      <x:c r="D47" s="17" t="str">
        <x:v>Acanthephyra</x:v>
      </x:c>
      <x:c r="E47" s="17" t="str">
        <x:v>Oplophoridae</x:v>
      </x:c>
      <x:c r="F47" s="17" t="str">
        <x:v>Decapods (ecology unspecified)</x:v>
      </x:c>
      <x:c r="G47" s="17" t="str">
        <x:v>Crustacea</x:v>
      </x:c>
      <x:c r="H47" s="17" t="str">
        <x:v>Ecological proxy</x:v>
      </x:c>
      <x:c r="I47" s="52" t="n">
        <x:v>3.84</x:v>
      </x:c>
      <x:c r="J47" s="52" t="n">
        <x:v>-1.46</x:v>
      </x:c>
      <x:c r="K47" s="52" t="n">
        <x:v>1.46</x:v>
      </x:c>
      <x:c r="L47" s="53" t="n">
        <x:v>27.547169811320753</x:v>
      </x:c>
      <x:c r="M47" s="17" t="str">
        <x:v>Predicted</x:v>
      </x:c>
      <x:c r="N47" s="17" t="str">
        <x:v>Exact taxon absent from all remaining sources</x:v>
      </x:c>
    </x:row>
    <x:row r="48" ht="15" hidden="0" customHeight="1">
      <x:c r="A48" s="17" t="str">
        <x:v>Spitz et al. 2010</x:v>
      </x:c>
      <x:c r="B48" s="17" t="str">
        <x:v>Ammodytes tobianus</x:v>
      </x:c>
      <x:c r="C48" s="52" t="n">
        <x:v>5.8</x:v>
      </x:c>
      <x:c r="D48" s="17" t="str">
        <x:v>Ammodytes</x:v>
      </x:c>
      <x:c r="E48" s="17" t="str">
        <x:v>Ammodytidae</x:v>
      </x:c>
      <x:c r="F48" s="17" t="str">
        <x:v>Small pelagic forage fishes</x:v>
      </x:c>
      <x:c r="G48" s="17" t="str">
        <x:v>Teleostei</x:v>
      </x:c>
      <x:c r="H48" s="17" t="str">
        <x:v>Genus</x:v>
      </x:c>
      <x:c r="I48" s="52" t="n">
        <x:v>5.475</x:v>
      </x:c>
      <x:c r="J48" s="52" t="n">
        <x:v>-0.3250000000000002</x:v>
      </x:c>
      <x:c r="K48" s="52" t="n">
        <x:v>0.3250000000000002</x:v>
      </x:c>
      <x:c r="L48" s="53" t="n">
        <x:v>5.603448275862073</x:v>
      </x:c>
      <x:c r="M48" s="17" t="str">
        <x:v>Predicted</x:v>
      </x:c>
      <x:c r="N48" s="17" t="str">
        <x:v>Exact taxon absent from all remaining sources</x:v>
      </x:c>
    </x:row>
    <x:row r="49" ht="15" hidden="0" customHeight="1">
      <x:c r="A49" s="17" t="str">
        <x:v>Spitz et al. 2010</x:v>
      </x:c>
      <x:c r="B49" s="17" t="str">
        <x:v>Arctozenus risso</x:v>
      </x:c>
      <x:c r="C49" s="52" t="n">
        <x:v>4.3</x:v>
      </x:c>
      <x:c r="D49" s="17" t="str">
        <x:v>Arctozenus</x:v>
      </x:c>
      <x:c r="E49" s="17" t="str">
        <x:v>Paralepididae</x:v>
      </x:c>
      <x:c r="F49" s="17" t="str">
        <x:v>Unclassified teleosts</x:v>
      </x:c>
      <x:c r="G49" s="17" t="str">
        <x:v>Teleostei</x:v>
      </x:c>
      <x:c r="H49" s="17" t="str">
        <x:v>Ecological proxy</x:v>
      </x:c>
      <x:c r="I49" s="52" t="n">
        <x:v>4.92</x:v>
      </x:c>
      <x:c r="J49" s="52" t="n">
        <x:v>0.6200000000000001</x:v>
      </x:c>
      <x:c r="K49" s="52" t="n">
        <x:v>0.6200000000000001</x:v>
      </x:c>
      <x:c r="L49" s="53" t="n">
        <x:v>14.418604651162795</x:v>
      </x:c>
      <x:c r="M49" s="17" t="str">
        <x:v>Predicted</x:v>
      </x:c>
      <x:c r="N49" s="17" t="str">
        <x:v>Exact taxon absent from all remaining sources</x:v>
      </x:c>
    </x:row>
    <x:row r="50" ht="15" hidden="0" customHeight="1">
      <x:c r="A50" s="17" t="str">
        <x:v>Spitz et al. 2010</x:v>
      </x:c>
      <x:c r="B50" s="17" t="str">
        <x:v>Argentina sphyraena</x:v>
      </x:c>
      <x:c r="C50" s="52" t="n">
        <x:v>6.1</x:v>
      </x:c>
      <x:c r="D50" s="17" t="str">
        <x:v>Argentina</x:v>
      </x:c>
      <x:c r="E50" s="17" t="str">
        <x:v>Argentinidae</x:v>
      </x:c>
      <x:c r="F50" s="17" t="str">
        <x:v>Unclassified teleosts</x:v>
      </x:c>
      <x:c r="G50" s="17" t="str">
        <x:v>Teleostei</x:v>
      </x:c>
      <x:c r="H50" s="17" t="str">
        <x:v>Ecological proxy</x:v>
      </x:c>
      <x:c r="I50" s="52" t="n">
        <x:v>4.92</x:v>
      </x:c>
      <x:c r="J50" s="52" t="n">
        <x:v>-1.1799999999999997</x:v>
      </x:c>
      <x:c r="K50" s="52" t="n">
        <x:v>1.1799999999999997</x:v>
      </x:c>
      <x:c r="L50" s="53" t="n">
        <x:v>19.34426229508196</x:v>
      </x:c>
      <x:c r="M50" s="17" t="str">
        <x:v>Predicted</x:v>
      </x:c>
      <x:c r="N50" s="17" t="str">
        <x:v>Exact taxon absent from all remaining sources</x:v>
      </x:c>
    </x:row>
    <x:row r="51" ht="15" hidden="0" customHeight="1">
      <x:c r="A51" s="17" t="str">
        <x:v>Spitz et al. 2010</x:v>
      </x:c>
      <x:c r="B51" s="17" t="str">
        <x:v>Argyropelecus olfersii</x:v>
      </x:c>
      <x:c r="C51" s="52" t="n">
        <x:v>3.5</x:v>
      </x:c>
      <x:c r="D51" s="17" t="str">
        <x:v>Argyropelecus</x:v>
      </x:c>
      <x:c r="E51" s="17" t="str">
        <x:v>Sternoptychidae</x:v>
      </x:c>
      <x:c r="F51" s="17" t="str">
        <x:v>Mesopelagic forage fishes</x:v>
      </x:c>
      <x:c r="G51" s="17" t="str">
        <x:v>Teleostei</x:v>
      </x:c>
      <x:c r="H51" s="17" t="str">
        <x:v>Broad</x:v>
      </x:c>
      <x:c r="I51" s="52" t="n">
        <x:v>5.74</x:v>
      </x:c>
      <x:c r="J51" s="52" t="n">
        <x:v>2.24</x:v>
      </x:c>
      <x:c r="K51" s="52" t="n">
        <x:v>2.24</x:v>
      </x:c>
      <x:c r="L51" s="53" t="n">
        <x:v>64</x:v>
      </x:c>
      <x:c r="M51" s="17" t="str">
        <x:v>Predicted</x:v>
      </x:c>
      <x:c r="N51" s="17" t="str">
        <x:v>Exact taxon absent from all remaining sources</x:v>
      </x:c>
    </x:row>
    <x:row r="52" ht="15" hidden="0" customHeight="1">
      <x:c r="A52" s="17" t="str">
        <x:v>Spitz et al. 2010</x:v>
      </x:c>
      <x:c r="B52" s="17" t="str">
        <x:v>Arnoglossus imperialis</x:v>
      </x:c>
      <x:c r="C52" s="52" t="n">
        <x:v>5.4</x:v>
      </x:c>
      <x:c r="D52" s="17" t="str">
        <x:v>Arnoglossus</x:v>
      </x:c>
      <x:c r="E52" s="17" t="str">
        <x:v>Bothidae</x:v>
      </x:c>
      <x:c r="F52" s="17" t="str">
        <x:v>Demersal flatfishes</x:v>
      </x:c>
      <x:c r="G52" s="17" t="str">
        <x:v>Teleostei</x:v>
      </x:c>
      <x:c r="H52" s="17" t="str">
        <x:v>Ecological proxy</x:v>
      </x:c>
      <x:c r="I52" s="52" t="n">
        <x:v>4.98</x:v>
      </x:c>
      <x:c r="J52" s="52" t="n">
        <x:v>-0.41999999999999993</x:v>
      </x:c>
      <x:c r="K52" s="52" t="n">
        <x:v>0.41999999999999993</x:v>
      </x:c>
      <x:c r="L52" s="53" t="n">
        <x:v>7.777777777777777</x:v>
      </x:c>
      <x:c r="M52" s="17" t="str">
        <x:v>Predicted</x:v>
      </x:c>
      <x:c r="N52" s="17" t="str">
        <x:v>Exact taxon absent from all remaining sources</x:v>
      </x:c>
    </x:row>
    <x:row r="53" ht="15" hidden="0" customHeight="1">
      <x:c r="A53" s="17" t="str">
        <x:v>Spitz et al. 2010</x:v>
      </x:c>
      <x:c r="B53" s="17" t="str">
        <x:v>Atherina presbyter</x:v>
      </x:c>
      <x:c r="C53" s="52" t="n">
        <x:v>7.3</x:v>
      </x:c>
      <x:c r="D53" s="17" t="str">
        <x:v>Atherina</x:v>
      </x:c>
      <x:c r="E53" s="17" t="str">
        <x:v>Atherinidae</x:v>
      </x:c>
      <x:c r="F53" s="17" t="str">
        <x:v>Small pelagic forage fishes</x:v>
      </x:c>
      <x:c r="G53" s="17" t="str">
        <x:v>Teleostei</x:v>
      </x:c>
      <x:c r="H53" s="17" t="str">
        <x:v>Family</x:v>
      </x:c>
      <x:c r="I53" s="52" t="n">
        <x:v>4.23</x:v>
      </x:c>
      <x:c r="J53" s="52" t="n">
        <x:v>-3.0699999999999994</x:v>
      </x:c>
      <x:c r="K53" s="52" t="n">
        <x:v>3.0699999999999994</x:v>
      </x:c>
      <x:c r="L53" s="53" t="n">
        <x:v>42.05479452054794</x:v>
      </x:c>
      <x:c r="M53" s="17" t="str">
        <x:v>Predicted</x:v>
      </x:c>
      <x:c r="N53" s="17" t="str">
        <x:v>Exact taxon absent from all remaining sources</x:v>
      </x:c>
    </x:row>
    <x:row r="54" ht="15" hidden="0" customHeight="1">
      <x:c r="A54" s="17" t="str">
        <x:v>Spitz et al. 2010</x:v>
      </x:c>
      <x:c r="B54" s="17" t="str">
        <x:v>Aurelia aurita</x:v>
      </x:c>
      <x:c r="C54" s="52" t="n">
        <x:v>0.7</x:v>
      </x:c>
      <x:c r="D54" s="17" t="str">
        <x:v>Aurelia</x:v>
      </x:c>
      <x:c r="E54" s="17" t="str">
        <x:v>Ulmaridae</x:v>
      </x:c>
      <x:c r="F54" s="17" t="str">
        <x:v>Gelatinous zooplankton - cnidarians</x:v>
      </x:c>
      <x:c r="G54" s="17" t="str">
        <x:v>Cnidaria</x:v>
      </x:c>
      <x:c r="H54" s="17" t="str">
        <x:v>No fallback</x:v>
      </x:c>
      <x:c r="I54" s="52"/>
      <x:c r="J54" s="52"/>
      <x:c r="K54" s="52"/>
      <x:c r="L54" s="53"/>
      <x:c r="M54" s="17" t="str">
        <x:v>No fallback</x:v>
      </x:c>
      <x:c r="N54" s="17" t="str">
        <x:v>Exact taxon absent from all remaining sources</x:v>
      </x:c>
    </x:row>
    <x:row r="55" ht="15" hidden="0" customHeight="1">
      <x:c r="A55" s="17" t="str">
        <x:v>Spitz et al. 2010</x:v>
      </x:c>
      <x:c r="B55" s="17" t="str">
        <x:v>Belone belone</x:v>
      </x:c>
      <x:c r="C55" s="52" t="n">
        <x:v>6.2</x:v>
      </x:c>
      <x:c r="D55" s="17" t="str">
        <x:v>Belone</x:v>
      </x:c>
      <x:c r="E55" s="17" t="str">
        <x:v>Belonidae</x:v>
      </x:c>
      <x:c r="F55" s="17" t="str">
        <x:v>Unclassified teleosts</x:v>
      </x:c>
      <x:c r="G55" s="17" t="str">
        <x:v>Teleostei</x:v>
      </x:c>
      <x:c r="H55" s="17" t="str">
        <x:v>Ecological proxy</x:v>
      </x:c>
      <x:c r="I55" s="52" t="n">
        <x:v>4.92</x:v>
      </x:c>
      <x:c r="J55" s="52" t="n">
        <x:v>-1.2800000000000002</x:v>
      </x:c>
      <x:c r="K55" s="52" t="n">
        <x:v>1.2800000000000002</x:v>
      </x:c>
      <x:c r="L55" s="53" t="n">
        <x:v>20.645161290322584</x:v>
      </x:c>
      <x:c r="M55" s="17" t="str">
        <x:v>Predicted</x:v>
      </x:c>
      <x:c r="N55" s="17" t="str">
        <x:v>Exact taxon absent from all remaining sources</x:v>
      </x:c>
    </x:row>
    <x:row r="56" ht="15" hidden="0" customHeight="1">
      <x:c r="A56" s="17" t="str">
        <x:v>Spitz et al. 2010</x:v>
      </x:c>
      <x:c r="B56" s="17" t="str">
        <x:v>Benthosema glaciale</x:v>
      </x:c>
      <x:c r="C56" s="52" t="n">
        <x:v>5.9</x:v>
      </x:c>
      <x:c r="D56" s="17" t="str">
        <x:v>Benthosema</x:v>
      </x:c>
      <x:c r="E56" s="17" t="str">
        <x:v>Myctophidae</x:v>
      </x:c>
      <x:c r="F56" s="17" t="str">
        <x:v>Mesopelagic forage fishes</x:v>
      </x:c>
      <x:c r="G56" s="17" t="str">
        <x:v>Teleostei</x:v>
      </x:c>
      <x:c r="H56" s="17" t="str">
        <x:v>Family</x:v>
      </x:c>
      <x:c r="I56" s="52" t="n">
        <x:v>7</x:v>
      </x:c>
      <x:c r="J56" s="52" t="n">
        <x:v>1.0999999999999996</x:v>
      </x:c>
      <x:c r="K56" s="52" t="n">
        <x:v>1.0999999999999996</x:v>
      </x:c>
      <x:c r="L56" s="53" t="n">
        <x:v>18.644067796610162</x:v>
      </x:c>
      <x:c r="M56" s="17" t="str">
        <x:v>Predicted</x:v>
      </x:c>
      <x:c r="N56" s="17" t="str">
        <x:v>Exact taxon absent from all remaining sources</x:v>
      </x:c>
    </x:row>
    <x:row r="57" ht="15" hidden="0" customHeight="1">
      <x:c r="A57" s="17" t="str">
        <x:v>Spitz et al. 2010</x:v>
      </x:c>
      <x:c r="B57" s="17" t="str">
        <x:v>Boops boops</x:v>
      </x:c>
      <x:c r="C57" s="52" t="n">
        <x:v>8</x:v>
      </x:c>
      <x:c r="D57" s="17" t="str">
        <x:v>Boops</x:v>
      </x:c>
      <x:c r="E57" s="17" t="str">
        <x:v>Sparidae</x:v>
      </x:c>
      <x:c r="F57" s="17" t="str">
        <x:v>Unclassified teleosts</x:v>
      </x:c>
      <x:c r="G57" s="17" t="str">
        <x:v>Teleostei</x:v>
      </x:c>
      <x:c r="H57" s="17" t="str">
        <x:v>Family</x:v>
      </x:c>
      <x:c r="I57" s="52" t="n">
        <x:v>5.859999999999999</x:v>
      </x:c>
      <x:c r="J57" s="52" t="n">
        <x:v>-2.1400000000000006</x:v>
      </x:c>
      <x:c r="K57" s="52" t="n">
        <x:v>2.1400000000000006</x:v>
      </x:c>
      <x:c r="L57" s="53" t="n">
        <x:v>26.750000000000007</x:v>
      </x:c>
      <x:c r="M57" s="17" t="str">
        <x:v>Predicted</x:v>
      </x:c>
      <x:c r="N57" s="17" t="str">
        <x:v>Exact taxon absent from all remaining sources</x:v>
      </x:c>
    </x:row>
    <x:row r="58" ht="15" hidden="0" customHeight="1">
      <x:c r="A58" s="17" t="str">
        <x:v>Spitz et al. 2010</x:v>
      </x:c>
      <x:c r="B58" s="17" t="str">
        <x:v>Callionymus lyra</x:v>
      </x:c>
      <x:c r="C58" s="52" t="n">
        <x:v>5.2</x:v>
      </x:c>
      <x:c r="D58" s="17" t="str">
        <x:v>Callionymus</x:v>
      </x:c>
      <x:c r="E58" s="17" t="str">
        <x:v>Callionymidae</x:v>
      </x:c>
      <x:c r="F58" s="17" t="str">
        <x:v>Unclassified teleosts</x:v>
      </x:c>
      <x:c r="G58" s="17" t="str">
        <x:v>Teleostei</x:v>
      </x:c>
      <x:c r="H58" s="17" t="str">
        <x:v>Ecological proxy</x:v>
      </x:c>
      <x:c r="I58" s="52" t="n">
        <x:v>4.92</x:v>
      </x:c>
      <x:c r="J58" s="52" t="n">
        <x:v>-0.28000000000000025</x:v>
      </x:c>
      <x:c r="K58" s="52" t="n">
        <x:v>0.28000000000000025</x:v>
      </x:c>
      <x:c r="L58" s="53" t="n">
        <x:v>5.3846153846153895</x:v>
      </x:c>
      <x:c r="M58" s="17" t="str">
        <x:v>Predicted</x:v>
      </x:c>
      <x:c r="N58" s="17" t="str">
        <x:v>Exact taxon absent from all remaining sources</x:v>
      </x:c>
    </x:row>
    <x:row r="59" ht="15" hidden="0" customHeight="1">
      <x:c r="A59" s="17" t="str">
        <x:v>Spitz et al. 2010</x:v>
      </x:c>
      <x:c r="B59" s="17" t="str">
        <x:v>Capros aper</x:v>
      </x:c>
      <x:c r="C59" s="52" t="n">
        <x:v>6.2</x:v>
      </x:c>
      <x:c r="D59" s="17" t="str">
        <x:v>Capros</x:v>
      </x:c>
      <x:c r="E59" s="17" t="str">
        <x:v>Caproidae</x:v>
      </x:c>
      <x:c r="F59" s="17" t="str">
        <x:v>Unclassified teleosts</x:v>
      </x:c>
      <x:c r="G59" s="17" t="str">
        <x:v>Teleostei</x:v>
      </x:c>
      <x:c r="H59" s="17" t="str">
        <x:v>Ecological proxy</x:v>
      </x:c>
      <x:c r="I59" s="52" t="n">
        <x:v>4.92</x:v>
      </x:c>
      <x:c r="J59" s="52" t="n">
        <x:v>-1.2800000000000002</x:v>
      </x:c>
      <x:c r="K59" s="52" t="n">
        <x:v>1.2800000000000002</x:v>
      </x:c>
      <x:c r="L59" s="53" t="n">
        <x:v>20.645161290322584</x:v>
      </x:c>
      <x:c r="M59" s="17" t="str">
        <x:v>Predicted</x:v>
      </x:c>
      <x:c r="N59" s="17" t="str">
        <x:v>Exact taxon absent from all remaining sources</x:v>
      </x:c>
    </x:row>
    <x:row r="60" ht="15" hidden="0" customHeight="1">
      <x:c r="A60" s="17" t="str">
        <x:v>Spitz et al. 2010</x:v>
      </x:c>
      <x:c r="B60" s="17" t="str">
        <x:v>Cepola macrophthalma</x:v>
      </x:c>
      <x:c r="C60" s="52" t="n">
        <x:v>3.9</x:v>
      </x:c>
      <x:c r="D60" s="17" t="str">
        <x:v>Cepola</x:v>
      </x:c>
      <x:c r="E60" s="17" t="str">
        <x:v>Cepolidae</x:v>
      </x:c>
      <x:c r="F60" s="17" t="str">
        <x:v>Unclassified teleosts</x:v>
      </x:c>
      <x:c r="G60" s="17" t="str">
        <x:v>Teleostei</x:v>
      </x:c>
      <x:c r="H60" s="17" t="str">
        <x:v>Ecological proxy</x:v>
      </x:c>
      <x:c r="I60" s="52" t="n">
        <x:v>4.92</x:v>
      </x:c>
      <x:c r="J60" s="52" t="n">
        <x:v>1.02</x:v>
      </x:c>
      <x:c r="K60" s="52" t="n">
        <x:v>1.02</x:v>
      </x:c>
      <x:c r="L60" s="53" t="n">
        <x:v>26.153846153846157</x:v>
      </x:c>
      <x:c r="M60" s="17" t="str">
        <x:v>Predicted</x:v>
      </x:c>
      <x:c r="N60" s="17" t="str">
        <x:v>Exact taxon absent from all remaining sources</x:v>
      </x:c>
    </x:row>
    <x:row r="61" ht="15" hidden="0" customHeight="1">
      <x:c r="A61" s="17" t="str">
        <x:v>Spitz et al. 2010</x:v>
      </x:c>
      <x:c r="B61" s="17" t="str">
        <x:v>Chelidonichthys cuculus</x:v>
      </x:c>
      <x:c r="C61" s="52" t="n">
        <x:v>8.2</x:v>
      </x:c>
      <x:c r="D61" s="17" t="str">
        <x:v>Chelidonichthys</x:v>
      </x:c>
      <x:c r="E61" s="17" t="str">
        <x:v>Triglidae</x:v>
      </x:c>
      <x:c r="F61" s="17" t="str">
        <x:v>Unclassified teleosts</x:v>
      </x:c>
      <x:c r="G61" s="17" t="str">
        <x:v>Teleostei</x:v>
      </x:c>
      <x:c r="H61" s="17" t="str">
        <x:v>Ecological proxy</x:v>
      </x:c>
      <x:c r="I61" s="52" t="n">
        <x:v>4.92</x:v>
      </x:c>
      <x:c r="J61" s="52" t="n">
        <x:v>-3.2799999999999994</x:v>
      </x:c>
      <x:c r="K61" s="52" t="n">
        <x:v>3.2799999999999994</x:v>
      </x:c>
      <x:c r="L61" s="53" t="n">
        <x:v>40</x:v>
      </x:c>
      <x:c r="M61" s="17" t="str">
        <x:v>Predicted</x:v>
      </x:c>
      <x:c r="N61" s="17" t="str">
        <x:v>Exact taxon absent from all remaining sources</x:v>
      </x:c>
    </x:row>
    <x:row r="62" ht="15" hidden="0" customHeight="1">
      <x:c r="A62" s="17" t="str">
        <x:v>Spitz et al. 2010</x:v>
      </x:c>
      <x:c r="B62" s="17" t="str">
        <x:v>Chimaera monstrosa</x:v>
      </x:c>
      <x:c r="C62" s="52" t="n">
        <x:v>3.9</x:v>
      </x:c>
      <x:c r="D62" s="17" t="str">
        <x:v>Chimaera</x:v>
      </x:c>
      <x:c r="E62" s="17" t="str">
        <x:v>Chimaeridae</x:v>
      </x:c>
      <x:c r="F62" s="17" t="str">
        <x:v>Demersal chimaeras</x:v>
      </x:c>
      <x:c r="G62" s="17" t="str">
        <x:v>Chondrichthyes</x:v>
      </x:c>
      <x:c r="H62" s="17" t="str">
        <x:v>No fallback</x:v>
      </x:c>
      <x:c r="I62" s="52"/>
      <x:c r="J62" s="52"/>
      <x:c r="K62" s="52"/>
      <x:c r="L62" s="53"/>
      <x:c r="M62" s="17" t="str">
        <x:v>No fallback</x:v>
      </x:c>
      <x:c r="N62" s="17" t="str">
        <x:v>Exact taxon absent from all remaining sources</x:v>
      </x:c>
    </x:row>
    <x:row r="63" ht="15" hidden="0" customHeight="1">
      <x:c r="A63" s="17" t="str">
        <x:v>Spitz et al. 2010</x:v>
      </x:c>
      <x:c r="B63" s="17" t="str">
        <x:v>Coelorinchus coelorinchus</x:v>
      </x:c>
      <x:c r="C63" s="52" t="n">
        <x:v>5.1</x:v>
      </x:c>
      <x:c r="D63" s="17" t="str">
        <x:v>Coelorinchus</x:v>
      </x:c>
      <x:c r="E63" s="17" t="str">
        <x:v>Macrouridae</x:v>
      </x:c>
      <x:c r="F63" s="17" t="str">
        <x:v>Other demersal fishes</x:v>
      </x:c>
      <x:c r="G63" s="17" t="str">
        <x:v>Teleostei</x:v>
      </x:c>
      <x:c r="H63" s="17" t="str">
        <x:v>Ecological proxy</x:v>
      </x:c>
      <x:c r="I63" s="52" t="n">
        <x:v>5.2</x:v>
      </x:c>
      <x:c r="J63" s="52" t="n">
        <x:v>0.10000000000000053</x:v>
      </x:c>
      <x:c r="K63" s="52" t="n">
        <x:v>0.10000000000000053</x:v>
      </x:c>
      <x:c r="L63" s="53" t="n">
        <x:v>1.960784313725501</x:v>
      </x:c>
      <x:c r="M63" s="17" t="str">
        <x:v>Predicted</x:v>
      </x:c>
      <x:c r="N63" s="17" t="str">
        <x:v>Exact taxon absent from all remaining sources</x:v>
      </x:c>
    </x:row>
    <x:row r="64" ht="15" hidden="0" customHeight="1">
      <x:c r="A64" s="17" t="str">
        <x:v>Spitz et al. 2010</x:v>
      </x:c>
      <x:c r="B64" s="17" t="str">
        <x:v>Dicentrarchus labrax</x:v>
      </x:c>
      <x:c r="C64" s="52" t="n">
        <x:v>6</x:v>
      </x:c>
      <x:c r="D64" s="17" t="str">
        <x:v>Dicentrarchus</x:v>
      </x:c>
      <x:c r="E64" s="17" t="str">
        <x:v>Moronidae</x:v>
      </x:c>
      <x:c r="F64" s="17" t="str">
        <x:v>Unclassified teleosts</x:v>
      </x:c>
      <x:c r="G64" s="17" t="str">
        <x:v>Teleostei</x:v>
      </x:c>
      <x:c r="H64" s="17" t="str">
        <x:v>Ecological proxy</x:v>
      </x:c>
      <x:c r="I64" s="52" t="n">
        <x:v>4.92</x:v>
      </x:c>
      <x:c r="J64" s="52" t="n">
        <x:v>-1.08</x:v>
      </x:c>
      <x:c r="K64" s="52" t="n">
        <x:v>1.08</x:v>
      </x:c>
      <x:c r="L64" s="53" t="n">
        <x:v>18.000000000000004</x:v>
      </x:c>
      <x:c r="M64" s="17" t="str">
        <x:v>Predicted</x:v>
      </x:c>
      <x:c r="N64" s="17" t="str">
        <x:v>Exact taxon absent from all remaining sources</x:v>
      </x:c>
    </x:row>
    <x:row r="65" ht="15" hidden="0" customHeight="1">
      <x:c r="A65" s="17" t="str">
        <x:v>Spitz et al. 2010</x:v>
      </x:c>
      <x:c r="B65" s="17" t="str">
        <x:v>Dicologlossa cuneata</x:v>
      </x:c>
      <x:c r="C65" s="52" t="n">
        <x:v>6.5</x:v>
      </x:c>
      <x:c r="D65" s="17" t="str">
        <x:v>Dicologlossa</x:v>
      </x:c>
      <x:c r="E65" s="17" t="str">
        <x:v>Soleidae</x:v>
      </x:c>
      <x:c r="F65" s="17" t="str">
        <x:v>Demersal flatfishes</x:v>
      </x:c>
      <x:c r="G65" s="17" t="str">
        <x:v>Teleostei</x:v>
      </x:c>
      <x:c r="H65" s="17" t="str">
        <x:v>Ecological proxy</x:v>
      </x:c>
      <x:c r="I65" s="52" t="n">
        <x:v>4.98</x:v>
      </x:c>
      <x:c r="J65" s="52" t="n">
        <x:v>-1.5199999999999996</x:v>
      </x:c>
      <x:c r="K65" s="52" t="n">
        <x:v>1.5199999999999996</x:v>
      </x:c>
      <x:c r="L65" s="53" t="n">
        <x:v>23.38461538461538</x:v>
      </x:c>
      <x:c r="M65" s="17" t="str">
        <x:v>Predicted</x:v>
      </x:c>
      <x:c r="N65" s="17" t="str">
        <x:v>Exact taxon absent from all remaining sources</x:v>
      </x:c>
    </x:row>
    <x:row r="66" ht="15" hidden="0" customHeight="1">
      <x:c r="A66" s="17" t="str">
        <x:v>Spitz et al. 2010</x:v>
      </x:c>
      <x:c r="B66" s="17" t="str">
        <x:v>Eledone cirrhosa</x:v>
      </x:c>
      <x:c r="C66" s="52" t="n">
        <x:v>4.7</x:v>
      </x:c>
      <x:c r="D66" s="17" t="str">
        <x:v>Eledone</x:v>
      </x:c>
      <x:c r="E66" s="17" t="str">
        <x:v>Octopodidae</x:v>
      </x:c>
      <x:c r="F66" s="17" t="str">
        <x:v>Benthic octopuses</x:v>
      </x:c>
      <x:c r="G66" s="17" t="str">
        <x:v>Cephalopoda</x:v>
      </x:c>
      <x:c r="H66" s="17" t="str">
        <x:v>Broad</x:v>
      </x:c>
      <x:c r="I66" s="52" t="n">
        <x:v>5.16</x:v>
      </x:c>
      <x:c r="J66" s="52" t="n">
        <x:v>0.45999999999999996</x:v>
      </x:c>
      <x:c r="K66" s="52" t="n">
        <x:v>0.45999999999999996</x:v>
      </x:c>
      <x:c r="L66" s="53" t="n">
        <x:v>9.787234042553191</x:v>
      </x:c>
      <x:c r="M66" s="17" t="str">
        <x:v>Predicted</x:v>
      </x:c>
      <x:c r="N66" s="17" t="str">
        <x:v>Exact taxon absent from all remaining sources</x:v>
      </x:c>
    </x:row>
    <x:row r="67" ht="15" hidden="0" customHeight="1">
      <x:c r="A67" s="17" t="str">
        <x:v>Spitz et al. 2010</x:v>
      </x:c>
      <x:c r="B67" s="17" t="str">
        <x:v>Engraulis encrasicolus</x:v>
      </x:c>
      <x:c r="C67" s="52" t="n">
        <x:v>5.8</x:v>
      </x:c>
      <x:c r="D67" s="17" t="str">
        <x:v>Engraulis</x:v>
      </x:c>
      <x:c r="E67" s="17" t="str">
        <x:v>Engraulidae</x:v>
      </x:c>
      <x:c r="F67" s="17" t="str">
        <x:v>Small pelagic forage fishes</x:v>
      </x:c>
      <x:c r="G67" s="17" t="str">
        <x:v>Teleostei</x:v>
      </x:c>
      <x:c r="H67" s="17" t="str">
        <x:v>Genus</x:v>
      </x:c>
      <x:c r="I67" s="52" t="n">
        <x:v>7.85</x:v>
      </x:c>
      <x:c r="J67" s="52" t="n">
        <x:v>2.05</x:v>
      </x:c>
      <x:c r="K67" s="52" t="n">
        <x:v>2.05</x:v>
      </x:c>
      <x:c r="L67" s="53" t="n">
        <x:v>35.3448275862069</x:v>
      </x:c>
      <x:c r="M67" s="17" t="str">
        <x:v>Predicted</x:v>
      </x:c>
      <x:c r="N67" s="17" t="str">
        <x:v>Exact taxon absent from all remaining sources</x:v>
      </x:c>
    </x:row>
    <x:row r="68" ht="15" hidden="0" customHeight="1">
      <x:c r="A68" s="17" t="str">
        <x:v>Spitz et al. 2010</x:v>
      </x:c>
      <x:c r="B68" s="17" t="str">
        <x:v>Entelurus aequoreus</x:v>
      </x:c>
      <x:c r="C68" s="52" t="n">
        <x:v>4.7</x:v>
      </x:c>
      <x:c r="D68" s="17" t="str">
        <x:v>Entelurus</x:v>
      </x:c>
      <x:c r="E68" s="17" t="str">
        <x:v>Syngnathidae</x:v>
      </x:c>
      <x:c r="F68" s="17" t="str">
        <x:v>Unclassified teleosts</x:v>
      </x:c>
      <x:c r="G68" s="17" t="str">
        <x:v>Teleostei</x:v>
      </x:c>
      <x:c r="H68" s="17" t="str">
        <x:v>Ecological proxy</x:v>
      </x:c>
      <x:c r="I68" s="52" t="n">
        <x:v>4.92</x:v>
      </x:c>
      <x:c r="J68" s="52" t="n">
        <x:v>0.21999999999999975</x:v>
      </x:c>
      <x:c r="K68" s="52" t="n">
        <x:v>0.21999999999999975</x:v>
      </x:c>
      <x:c r="L68" s="53" t="n">
        <x:v>4.680851063829781</x:v>
      </x:c>
      <x:c r="M68" s="17" t="str">
        <x:v>Predicted</x:v>
      </x:c>
      <x:c r="N68" s="17" t="str">
        <x:v>Exact taxon absent from all remaining sources</x:v>
      </x:c>
    </x:row>
    <x:row r="69" ht="15" hidden="0" customHeight="1">
      <x:c r="A69" s="17" t="str">
        <x:v>Spitz et al. 2010</x:v>
      </x:c>
      <x:c r="B69" s="17" t="str">
        <x:v>Gadiculus argenteus</x:v>
      </x:c>
      <x:c r="C69" s="52" t="n">
        <x:v>5</x:v>
      </x:c>
      <x:c r="D69" s="17" t="str">
        <x:v>Gadiculus</x:v>
      </x:c>
      <x:c r="E69" s="17" t="str">
        <x:v>Gadidae</x:v>
      </x:c>
      <x:c r="F69" s="17" t="str">
        <x:v>Other demersal fishes</x:v>
      </x:c>
      <x:c r="G69" s="17" t="str">
        <x:v>Teleostei</x:v>
      </x:c>
      <x:c r="H69" s="17" t="str">
        <x:v>Ecological proxy</x:v>
      </x:c>
      <x:c r="I69" s="52" t="n">
        <x:v>5.2</x:v>
      </x:c>
      <x:c r="J69" s="52" t="n">
        <x:v>0.20000000000000018</x:v>
      </x:c>
      <x:c r="K69" s="52" t="n">
        <x:v>0.20000000000000018</x:v>
      </x:c>
      <x:c r="L69" s="53" t="n">
        <x:v>4.0000000000000036</x:v>
      </x:c>
      <x:c r="M69" s="17" t="str">
        <x:v>Predicted</x:v>
      </x:c>
      <x:c r="N69" s="17" t="str">
        <x:v>Exact taxon absent from all remaining sources</x:v>
      </x:c>
    </x:row>
    <x:row r="70" ht="15" hidden="0" customHeight="1">
      <x:c r="A70" s="17" t="str">
        <x:v>Spitz et al. 2010</x:v>
      </x:c>
      <x:c r="B70" s="17" t="str">
        <x:v>Glyptocephalus cynoglossus</x:v>
      </x:c>
      <x:c r="C70" s="52" t="n">
        <x:v>5.6</x:v>
      </x:c>
      <x:c r="D70" s="17" t="str">
        <x:v>Glyptocephalus</x:v>
      </x:c>
      <x:c r="E70" s="17" t="str">
        <x:v>Pleuronectidae</x:v>
      </x:c>
      <x:c r="F70" s="17" t="str">
        <x:v>Demersal flatfishes</x:v>
      </x:c>
      <x:c r="G70" s="17" t="str">
        <x:v>Teleostei</x:v>
      </x:c>
      <x:c r="H70" s="17" t="str">
        <x:v>Family</x:v>
      </x:c>
      <x:c r="I70" s="52" t="n">
        <x:v>4.855</x:v>
      </x:c>
      <x:c r="J70" s="52" t="n">
        <x:v>-0.7449999999999992</x:v>
      </x:c>
      <x:c r="K70" s="52" t="n">
        <x:v>0.7449999999999992</x:v>
      </x:c>
      <x:c r="L70" s="53" t="n">
        <x:v>13.303571428571415</x:v>
      </x:c>
      <x:c r="M70" s="17" t="str">
        <x:v>Predicted</x:v>
      </x:c>
      <x:c r="N70" s="17" t="str">
        <x:v>Exact taxon absent from all remaining sources</x:v>
      </x:c>
    </x:row>
    <x:row r="71" ht="15" hidden="0" customHeight="1">
      <x:c r="A71" s="17" t="str">
        <x:v>Spitz et al. 2010</x:v>
      </x:c>
      <x:c r="B71" s="17" t="str">
        <x:v>Helicolenus dactylopterus</x:v>
      </x:c>
      <x:c r="C71" s="52" t="n">
        <x:v>9.2</x:v>
      </x:c>
      <x:c r="D71" s="17" t="str">
        <x:v>Helicolenus</x:v>
      </x:c>
      <x:c r="E71" s="17" t="str">
        <x:v>Sebastidae</x:v>
      </x:c>
      <x:c r="F71" s="17" t="str">
        <x:v>Unclassified teleosts</x:v>
      </x:c>
      <x:c r="G71" s="17" t="str">
        <x:v>Teleostei</x:v>
      </x:c>
      <x:c r="H71" s="17" t="str">
        <x:v>Family</x:v>
      </x:c>
      <x:c r="I71" s="52" t="n">
        <x:v>2.97</x:v>
      </x:c>
      <x:c r="J71" s="52" t="n">
        <x:v>-6.229999999999999</x:v>
      </x:c>
      <x:c r="K71" s="52" t="n">
        <x:v>6.229999999999999</x:v>
      </x:c>
      <x:c r="L71" s="53" t="n">
        <x:v>67.71739130434781</x:v>
      </x:c>
      <x:c r="M71" s="17" t="str">
        <x:v>Predicted</x:v>
      </x:c>
      <x:c r="N71" s="17" t="str">
        <x:v>Exact taxon absent from all remaining sources</x:v>
      </x:c>
    </x:row>
    <x:row r="72" ht="15" hidden="0" customHeight="1">
      <x:c r="A72" s="17" t="str">
        <x:v>Spitz et al. 2010</x:v>
      </x:c>
      <x:c r="B72" s="17" t="str">
        <x:v>Hoplostethus mediterraneus</x:v>
      </x:c>
      <x:c r="C72" s="52" t="n">
        <x:v>4.7</x:v>
      </x:c>
      <x:c r="D72" s="17" t="str">
        <x:v>Hoplostethus</x:v>
      </x:c>
      <x:c r="E72" s="17" t="str">
        <x:v>Trachichthyidae</x:v>
      </x:c>
      <x:c r="F72" s="17" t="str">
        <x:v>Unclassified teleosts</x:v>
      </x:c>
      <x:c r="G72" s="17" t="str">
        <x:v>Teleostei</x:v>
      </x:c>
      <x:c r="H72" s="17" t="str">
        <x:v>Ecological proxy</x:v>
      </x:c>
      <x:c r="I72" s="52" t="n">
        <x:v>4.92</x:v>
      </x:c>
      <x:c r="J72" s="52" t="n">
        <x:v>0.21999999999999975</x:v>
      </x:c>
      <x:c r="K72" s="52" t="n">
        <x:v>0.21999999999999975</x:v>
      </x:c>
      <x:c r="L72" s="53" t="n">
        <x:v>4.680851063829781</x:v>
      </x:c>
      <x:c r="M72" s="17" t="str">
        <x:v>Predicted</x:v>
      </x:c>
      <x:c r="N72" s="17" t="str">
        <x:v>Exact taxon absent from all remaining sources</x:v>
      </x:c>
    </x:row>
    <x:row r="73" ht="15" hidden="0" customHeight="1">
      <x:c r="A73" s="17" t="str">
        <x:v>Spitz et al. 2010</x:v>
      </x:c>
      <x:c r="B73" s="17" t="str">
        <x:v>Hyperoplus lanceolatus</x:v>
      </x:c>
      <x:c r="C73" s="52" t="n">
        <x:v>4.8</x:v>
      </x:c>
      <x:c r="D73" s="17" t="str">
        <x:v>Hyperoplus</x:v>
      </x:c>
      <x:c r="E73" s="17" t="str">
        <x:v>Ammodytidae</x:v>
      </x:c>
      <x:c r="F73" s="17" t="str">
        <x:v>Small pelagic forage fishes</x:v>
      </x:c>
      <x:c r="G73" s="17" t="str">
        <x:v>Teleostei</x:v>
      </x:c>
      <x:c r="H73" s="17" t="str">
        <x:v>Family</x:v>
      </x:c>
      <x:c r="I73" s="52" t="n">
        <x:v>5.475</x:v>
      </x:c>
      <x:c r="J73" s="52" t="n">
        <x:v>0.6749999999999998</x:v>
      </x:c>
      <x:c r="K73" s="52" t="n">
        <x:v>0.6749999999999998</x:v>
      </x:c>
      <x:c r="L73" s="53" t="n">
        <x:v>14.062499999999996</x:v>
      </x:c>
      <x:c r="M73" s="17" t="str">
        <x:v>Predicted</x:v>
      </x:c>
      <x:c r="N73" s="17" t="str">
        <x:v>Exact taxon absent from all remaining sources</x:v>
      </x:c>
    </x:row>
    <x:row r="74" ht="15" hidden="0" customHeight="1">
      <x:c r="A74" s="17" t="str">
        <x:v>Spitz et al. 2010</x:v>
      </x:c>
      <x:c r="B74" s="17" t="str">
        <x:v>Illex coindeti</x:v>
      </x:c>
      <x:c r="C74" s="52" t="n">
        <x:v>4.3</x:v>
      </x:c>
      <x:c r="D74" s="17" t="str">
        <x:v>Illex</x:v>
      </x:c>
      <x:c r="E74" s="17" t="str">
        <x:v>Ommastrephidae</x:v>
      </x:c>
      <x:c r="F74" s="17" t="str">
        <x:v>Pelagic squids</x:v>
      </x:c>
      <x:c r="G74" s="17" t="str">
        <x:v>Cephalopoda</x:v>
      </x:c>
      <x:c r="H74" s="17" t="str">
        <x:v>Genus</x:v>
      </x:c>
      <x:c r="I74" s="52" t="n">
        <x:v>5.45</x:v>
      </x:c>
      <x:c r="J74" s="52" t="n">
        <x:v>1.1500000000000004</x:v>
      </x:c>
      <x:c r="K74" s="52" t="n">
        <x:v>1.1500000000000004</x:v>
      </x:c>
      <x:c r="L74" s="53" t="n">
        <x:v>26.744186046511636</x:v>
      </x:c>
      <x:c r="M74" s="17" t="str">
        <x:v>Predicted</x:v>
      </x:c>
      <x:c r="N74" s="17" t="str">
        <x:v>Exact taxon absent from all remaining sources</x:v>
      </x:c>
    </x:row>
    <x:row r="75" ht="15" hidden="0" customHeight="1">
      <x:c r="A75" s="17" t="str">
        <x:v>Spitz et al. 2010</x:v>
      </x:c>
      <x:c r="B75" s="17" t="str">
        <x:v>Labrus bergylta</x:v>
      </x:c>
      <x:c r="C75" s="52" t="n">
        <x:v>5.4</x:v>
      </x:c>
      <x:c r="D75" s="17" t="str">
        <x:v>Labrus</x:v>
      </x:c>
      <x:c r="E75" s="17" t="str">
        <x:v>Labridae</x:v>
      </x:c>
      <x:c r="F75" s="17" t="str">
        <x:v>Unclassified teleosts</x:v>
      </x:c>
      <x:c r="G75" s="17" t="str">
        <x:v>Teleostei</x:v>
      </x:c>
      <x:c r="H75" s="17" t="str">
        <x:v>Ecological proxy</x:v>
      </x:c>
      <x:c r="I75" s="52" t="n">
        <x:v>4.92</x:v>
      </x:c>
      <x:c r="J75" s="52" t="n">
        <x:v>-0.4800000000000004</x:v>
      </x:c>
      <x:c r="K75" s="52" t="n">
        <x:v>0.4800000000000004</x:v>
      </x:c>
      <x:c r="L75" s="53" t="n">
        <x:v>8.888888888888896</x:v>
      </x:c>
      <x:c r="M75" s="17" t="str">
        <x:v>Predicted</x:v>
      </x:c>
      <x:c r="N75" s="17" t="str">
        <x:v>Exact taxon absent from all remaining sources</x:v>
      </x:c>
    </x:row>
    <x:row r="76" ht="15" hidden="0" customHeight="1">
      <x:c r="A76" s="17" t="str">
        <x:v>Spitz et al. 2010</x:v>
      </x:c>
      <x:c r="B76" s="17" t="str">
        <x:v>Lampanyctus crocodilus</x:v>
      </x:c>
      <x:c r="C76" s="52" t="n">
        <x:v>4.1</x:v>
      </x:c>
      <x:c r="D76" s="17" t="str">
        <x:v>Lampanyctus</x:v>
      </x:c>
      <x:c r="E76" s="17" t="str">
        <x:v>Myctophidae</x:v>
      </x:c>
      <x:c r="F76" s="17" t="str">
        <x:v>Mesopelagic forage fishes</x:v>
      </x:c>
      <x:c r="G76" s="17" t="str">
        <x:v>Teleostei</x:v>
      </x:c>
      <x:c r="H76" s="17" t="str">
        <x:v>Family</x:v>
      </x:c>
      <x:c r="I76" s="52" t="n">
        <x:v>7</x:v>
      </x:c>
      <x:c r="J76" s="52" t="n">
        <x:v>2.9000000000000004</x:v>
      </x:c>
      <x:c r="K76" s="52" t="n">
        <x:v>2.9000000000000004</x:v>
      </x:c>
      <x:c r="L76" s="53" t="n">
        <x:v>70.73170731707319</x:v>
      </x:c>
      <x:c r="M76" s="17" t="str">
        <x:v>Predicted</x:v>
      </x:c>
      <x:c r="N76" s="17" t="str">
        <x:v>Exact taxon absent from all remaining sources</x:v>
      </x:c>
    </x:row>
    <x:row r="77" ht="15" hidden="0" customHeight="1">
      <x:c r="A77" s="17" t="str">
        <x:v>Spitz et al. 2010</x:v>
      </x:c>
      <x:c r="B77" s="17" t="str">
        <x:v>Lepidorhombus whiffiagonis</x:v>
      </x:c>
      <x:c r="C77" s="52" t="n">
        <x:v>6.1</x:v>
      </x:c>
      <x:c r="D77" s="17" t="str">
        <x:v>Lepidorhombus</x:v>
      </x:c>
      <x:c r="E77" s="17" t="str">
        <x:v>Scophthalmidae</x:v>
      </x:c>
      <x:c r="F77" s="17" t="str">
        <x:v>Demersal flatfishes</x:v>
      </x:c>
      <x:c r="G77" s="17" t="str">
        <x:v>Teleostei</x:v>
      </x:c>
      <x:c r="H77" s="17" t="str">
        <x:v>Ecological proxy</x:v>
      </x:c>
      <x:c r="I77" s="52" t="n">
        <x:v>4.98</x:v>
      </x:c>
      <x:c r="J77" s="52" t="n">
        <x:v>-1.1199999999999992</x:v>
      </x:c>
      <x:c r="K77" s="52" t="n">
        <x:v>1.1199999999999992</x:v>
      </x:c>
      <x:c r="L77" s="53" t="n">
        <x:v>18.360655737704906</x:v>
      </x:c>
      <x:c r="M77" s="17" t="str">
        <x:v>Predicted</x:v>
      </x:c>
      <x:c r="N77" s="17" t="str">
        <x:v>Exact taxon absent from all remaining sources</x:v>
      </x:c>
    </x:row>
    <x:row r="78" ht="15" hidden="0" customHeight="1">
      <x:c r="A78" s="17" t="str">
        <x:v>Spitz et al. 2010</x:v>
      </x:c>
      <x:c r="B78" s="17" t="str">
        <x:v>Lesueurigobius friesii</x:v>
      </x:c>
      <x:c r="C78" s="52" t="n">
        <x:v>5.6</x:v>
      </x:c>
      <x:c r="D78" s="17" t="str">
        <x:v>Lesueurigobius</x:v>
      </x:c>
      <x:c r="E78" s="17" t="str">
        <x:v>Gobiidae</x:v>
      </x:c>
      <x:c r="F78" s="17" t="str">
        <x:v>Unclassified teleosts</x:v>
      </x:c>
      <x:c r="G78" s="17" t="str">
        <x:v>Teleostei</x:v>
      </x:c>
      <x:c r="H78" s="17" t="str">
        <x:v>Family</x:v>
      </x:c>
      <x:c r="I78" s="52" t="n">
        <x:v>4.26</x:v>
      </x:c>
      <x:c r="J78" s="52" t="n">
        <x:v>-1.3399999999999999</x:v>
      </x:c>
      <x:c r="K78" s="52" t="n">
        <x:v>1.3399999999999999</x:v>
      </x:c>
      <x:c r="L78" s="53" t="n">
        <x:v>23.928571428571427</x:v>
      </x:c>
      <x:c r="M78" s="17" t="str">
        <x:v>Predicted</x:v>
      </x:c>
      <x:c r="N78" s="17" t="str">
        <x:v>Exact taxon absent from all remaining sources</x:v>
      </x:c>
    </x:row>
    <x:row r="79" ht="15" hidden="0" customHeight="1">
      <x:c r="A79" s="17" t="str">
        <x:v>Spitz et al. 2010</x:v>
      </x:c>
      <x:c r="B79" s="17" t="str">
        <x:v>Leucoraja naevus</x:v>
      </x:c>
      <x:c r="C79" s="52" t="n">
        <x:v>5.7</x:v>
      </x:c>
      <x:c r="D79" s="17" t="str">
        <x:v>Leucoraja</x:v>
      </x:c>
      <x:c r="E79" s="17" t="str">
        <x:v>Rajidae</x:v>
      </x:c>
      <x:c r="F79" s="17" t="str">
        <x:v>Demersal rays</x:v>
      </x:c>
      <x:c r="G79" s="17" t="str">
        <x:v>Chondrichthyes</x:v>
      </x:c>
      <x:c r="H79" s="17" t="str">
        <x:v>No fallback</x:v>
      </x:c>
      <x:c r="I79" s="52"/>
      <x:c r="J79" s="52"/>
      <x:c r="K79" s="52"/>
      <x:c r="L79" s="53"/>
      <x:c r="M79" s="17" t="str">
        <x:v>No fallback</x:v>
      </x:c>
      <x:c r="N79" s="17" t="str">
        <x:v>Exact taxon absent from all remaining sources</x:v>
      </x:c>
    </x:row>
    <x:row r="80" ht="15" hidden="0" customHeight="1">
      <x:c r="A80" s="17" t="str">
        <x:v>Spitz et al. 2010</x:v>
      </x:c>
      <x:c r="B80" s="17" t="str">
        <x:v>Liza ramada</x:v>
      </x:c>
      <x:c r="C80" s="52" t="n">
        <x:v>6.5</x:v>
      </x:c>
      <x:c r="D80" s="17" t="str">
        <x:v>Liza</x:v>
      </x:c>
      <x:c r="E80" s="17" t="str">
        <x:v>Mugilidae</x:v>
      </x:c>
      <x:c r="F80" s="17" t="str">
        <x:v>Unclassified teleosts</x:v>
      </x:c>
      <x:c r="G80" s="17" t="str">
        <x:v>Teleostei</x:v>
      </x:c>
      <x:c r="H80" s="17" t="str">
        <x:v>Genus</x:v>
      </x:c>
      <x:c r="I80" s="52" t="n">
        <x:v>5.39</x:v>
      </x:c>
      <x:c r="J80" s="52" t="n">
        <x:v>-1.1100000000000003</x:v>
      </x:c>
      <x:c r="K80" s="52" t="n">
        <x:v>1.1100000000000003</x:v>
      </x:c>
      <x:c r="L80" s="53" t="n">
        <x:v>17.07692307692308</x:v>
      </x:c>
      <x:c r="M80" s="17" t="str">
        <x:v>Predicted</x:v>
      </x:c>
      <x:c r="N80" s="17" t="str">
        <x:v>Exact taxon absent from all remaining sources</x:v>
      </x:c>
    </x:row>
    <x:row r="81" ht="15" hidden="0" customHeight="1">
      <x:c r="A81" s="17" t="str">
        <x:v>Spitz et al. 2010</x:v>
      </x:c>
      <x:c r="B81" s="17" t="str">
        <x:v>Lobianchia gemellari</x:v>
      </x:c>
      <x:c r="C81" s="52" t="n">
        <x:v>8.6</x:v>
      </x:c>
      <x:c r="D81" s="17" t="str">
        <x:v>Lobianchia</x:v>
      </x:c>
      <x:c r="E81" s="17" t="str">
        <x:v>Myctophidae</x:v>
      </x:c>
      <x:c r="F81" s="17" t="str">
        <x:v>Mesopelagic forage fishes</x:v>
      </x:c>
      <x:c r="G81" s="17" t="str">
        <x:v>Teleostei</x:v>
      </x:c>
      <x:c r="H81" s="17" t="str">
        <x:v>Family</x:v>
      </x:c>
      <x:c r="I81" s="52" t="n">
        <x:v>7</x:v>
      </x:c>
      <x:c r="J81" s="52" t="n">
        <x:v>-1.5999999999999996</x:v>
      </x:c>
      <x:c r="K81" s="52" t="n">
        <x:v>1.5999999999999996</x:v>
      </x:c>
      <x:c r="L81" s="53" t="n">
        <x:v>18.604651162790695</x:v>
      </x:c>
      <x:c r="M81" s="17" t="str">
        <x:v>Predicted</x:v>
      </x:c>
      <x:c r="N81" s="17" t="str">
        <x:v>Exact taxon absent from all remaining sources</x:v>
      </x:c>
    </x:row>
    <x:row r="82" ht="15" hidden="0" customHeight="1">
      <x:c r="A82" s="17" t="str">
        <x:v>Spitz et al. 2010</x:v>
      </x:c>
      <x:c r="B82" s="17" t="str">
        <x:v>Loligo forbesi</x:v>
      </x:c>
      <x:c r="C82" s="52" t="n">
        <x:v>4.6</x:v>
      </x:c>
      <x:c r="D82" s="17" t="str">
        <x:v>Loligo</x:v>
      </x:c>
      <x:c r="E82" s="17" t="str">
        <x:v>Loliginidae</x:v>
      </x:c>
      <x:c r="F82" s="17" t="str">
        <x:v>Pelagic squids</x:v>
      </x:c>
      <x:c r="G82" s="17" t="str">
        <x:v>Cephalopoda</x:v>
      </x:c>
      <x:c r="H82" s="17" t="str">
        <x:v>Family</x:v>
      </x:c>
      <x:c r="I82" s="52" t="n">
        <x:v>5.005</x:v>
      </x:c>
      <x:c r="J82" s="52" t="n">
        <x:v>0.40500000000000025</x:v>
      </x:c>
      <x:c r="K82" s="52" t="n">
        <x:v>0.40500000000000025</x:v>
      </x:c>
      <x:c r="L82" s="53" t="n">
        <x:v>8.804347826086962</x:v>
      </x:c>
      <x:c r="M82" s="17" t="str">
        <x:v>Predicted</x:v>
      </x:c>
      <x:c r="N82" s="17" t="str">
        <x:v>Exact taxon absent from all remaining sources</x:v>
      </x:c>
    </x:row>
    <x:row r="83" ht="15" hidden="0" customHeight="1">
      <x:c r="A83" s="17" t="str">
        <x:v>Spitz et al. 2010</x:v>
      </x:c>
      <x:c r="B83" s="17" t="str">
        <x:v>Loligo vulgaris</x:v>
      </x:c>
      <x:c r="C83" s="52" t="n">
        <x:v>4.8</x:v>
      </x:c>
      <x:c r="D83" s="17" t="str">
        <x:v>Loligo</x:v>
      </x:c>
      <x:c r="E83" s="17" t="str">
        <x:v>Loliginidae</x:v>
      </x:c>
      <x:c r="F83" s="17" t="str">
        <x:v>Pelagic squids</x:v>
      </x:c>
      <x:c r="G83" s="17" t="str">
        <x:v>Cephalopoda</x:v>
      </x:c>
      <x:c r="H83" s="17" t="str">
        <x:v>Family</x:v>
      </x:c>
      <x:c r="I83" s="52" t="n">
        <x:v>5.005</x:v>
      </x:c>
      <x:c r="J83" s="52" t="n">
        <x:v>0.20500000000000007</x:v>
      </x:c>
      <x:c r="K83" s="52" t="n">
        <x:v>0.20500000000000007</x:v>
      </x:c>
      <x:c r="L83" s="53" t="n">
        <x:v>4.270833333333335</x:v>
      </x:c>
      <x:c r="M83" s="17" t="str">
        <x:v>Predicted</x:v>
      </x:c>
      <x:c r="N83" s="17" t="str">
        <x:v>Exact taxon absent from all remaining sources</x:v>
      </x:c>
    </x:row>
    <x:row r="84" ht="15" hidden="0" customHeight="1">
      <x:c r="A84" s="17" t="str">
        <x:v>Spitz et al. 2010</x:v>
      </x:c>
      <x:c r="B84" s="17" t="str">
        <x:v>Maurolicus muelleri</x:v>
      </x:c>
      <x:c r="C84" s="52" t="n">
        <x:v>4.2</x:v>
      </x:c>
      <x:c r="D84" s="17" t="str">
        <x:v>Maurolicus</x:v>
      </x:c>
      <x:c r="E84" s="17" t="str">
        <x:v>Sternoptychidae</x:v>
      </x:c>
      <x:c r="F84" s="17" t="str">
        <x:v>Mesopelagic forage fishes</x:v>
      </x:c>
      <x:c r="G84" s="17" t="str">
        <x:v>Teleostei</x:v>
      </x:c>
      <x:c r="H84" s="17" t="str">
        <x:v>Broad</x:v>
      </x:c>
      <x:c r="I84" s="52" t="n">
        <x:v>5.74</x:v>
      </x:c>
      <x:c r="J84" s="52" t="n">
        <x:v>1.54</x:v>
      </x:c>
      <x:c r="K84" s="52" t="n">
        <x:v>1.54</x:v>
      </x:c>
      <x:c r="L84" s="53" t="n">
        <x:v>36.666666666666664</x:v>
      </x:c>
      <x:c r="M84" s="17" t="str">
        <x:v>Predicted</x:v>
      </x:c>
      <x:c r="N84" s="17" t="str">
        <x:v>Exact taxon absent from all remaining sources</x:v>
      </x:c>
    </x:row>
    <x:row r="85" ht="15" hidden="0" customHeight="1">
      <x:c r="A85" s="17" t="str">
        <x:v>Spitz et al. 2010</x:v>
      </x:c>
      <x:c r="B85" s="17" t="str">
        <x:v>Meganyctiphanes norvegica</x:v>
      </x:c>
      <x:c r="C85" s="52" t="n">
        <x:v>3.9</x:v>
      </x:c>
      <x:c r="D85" s="17" t="str">
        <x:v>Meganyctiphanes</x:v>
      </x:c>
      <x:c r="E85" s="17" t="str">
        <x:v>Euphausiidae</x:v>
      </x:c>
      <x:c r="F85" s="17" t="str">
        <x:v>Pelagic planktonic euphausiids</x:v>
      </x:c>
      <x:c r="G85" s="17" t="str">
        <x:v>Crustacea</x:v>
      </x:c>
      <x:c r="H85" s="17" t="str">
        <x:v>Family</x:v>
      </x:c>
      <x:c r="I85" s="52" t="n">
        <x:v>3.73</x:v>
      </x:c>
      <x:c r="J85" s="52" t="n">
        <x:v>-0.16999999999999993</x:v>
      </x:c>
      <x:c r="K85" s="52" t="n">
        <x:v>0.16999999999999993</x:v>
      </x:c>
      <x:c r="L85" s="53" t="n">
        <x:v>4.358974358974358</x:v>
      </x:c>
      <x:c r="M85" s="17" t="str">
        <x:v>Predicted</x:v>
      </x:c>
      <x:c r="N85" s="17" t="str">
        <x:v>Exact taxon absent from all remaining sources</x:v>
      </x:c>
    </x:row>
    <x:row r="86" ht="15" hidden="0" customHeight="1">
      <x:c r="A86" s="17" t="str">
        <x:v>Spitz et al. 2010</x:v>
      </x:c>
      <x:c r="B86" s="17" t="str">
        <x:v>Merlangius merlangus</x:v>
      </x:c>
      <x:c r="C86" s="52" t="n">
        <x:v>3.9</x:v>
      </x:c>
      <x:c r="D86" s="17" t="str">
        <x:v>Merlangius</x:v>
      </x:c>
      <x:c r="E86" s="17" t="str">
        <x:v>Gadidae</x:v>
      </x:c>
      <x:c r="F86" s="17" t="str">
        <x:v>Other demersal fishes</x:v>
      </x:c>
      <x:c r="G86" s="17" t="str">
        <x:v>Teleostei</x:v>
      </x:c>
      <x:c r="H86" s="17" t="str">
        <x:v>Ecological proxy</x:v>
      </x:c>
      <x:c r="I86" s="52" t="n">
        <x:v>5.2</x:v>
      </x:c>
      <x:c r="J86" s="52" t="n">
        <x:v>1.3000000000000003</x:v>
      </x:c>
      <x:c r="K86" s="52" t="n">
        <x:v>1.3000000000000003</x:v>
      </x:c>
      <x:c r="L86" s="53" t="n">
        <x:v>33.33333333333334</x:v>
      </x:c>
      <x:c r="M86" s="17" t="str">
        <x:v>Predicted</x:v>
      </x:c>
      <x:c r="N86" s="17" t="str">
        <x:v>Exact taxon absent from all remaining sources</x:v>
      </x:c>
    </x:row>
    <x:row r="87" ht="15" hidden="0" customHeight="1">
      <x:c r="A87" s="17" t="str">
        <x:v>Spitz et al. 2010</x:v>
      </x:c>
      <x:c r="B87" s="17" t="str">
        <x:v>Merluccius merluccius</x:v>
      </x:c>
      <x:c r="C87" s="52" t="n">
        <x:v>3.7</x:v>
      </x:c>
      <x:c r="D87" s="17" t="str">
        <x:v>Merluccius</x:v>
      </x:c>
      <x:c r="E87" s="17" t="str">
        <x:v>Merlucciidae</x:v>
      </x:c>
      <x:c r="F87" s="17" t="str">
        <x:v>Other demersal fishes</x:v>
      </x:c>
      <x:c r="G87" s="17" t="str">
        <x:v>Teleostei</x:v>
      </x:c>
      <x:c r="H87" s="17" t="str">
        <x:v>Genus</x:v>
      </x:c>
      <x:c r="I87" s="52" t="n">
        <x:v>4.28</x:v>
      </x:c>
      <x:c r="J87" s="52" t="n">
        <x:v>0.5800000000000001</x:v>
      </x:c>
      <x:c r="K87" s="52" t="n">
        <x:v>0.5800000000000001</x:v>
      </x:c>
      <x:c r="L87" s="53" t="n">
        <x:v>15.675675675675677</x:v>
      </x:c>
      <x:c r="M87" s="17" t="str">
        <x:v>Predicted</x:v>
      </x:c>
      <x:c r="N87" s="17" t="str">
        <x:v>Exact taxon absent from all remaining sources</x:v>
      </x:c>
    </x:row>
    <x:row r="88" ht="15" hidden="0" customHeight="1">
      <x:c r="A88" s="17" t="str">
        <x:v>Spitz et al. 2010</x:v>
      </x:c>
      <x:c r="B88" s="17" t="str">
        <x:v>Micromesistius poutassou</x:v>
      </x:c>
      <x:c r="C88" s="52" t="n">
        <x:v>4.4</x:v>
      </x:c>
      <x:c r="D88" s="17" t="str">
        <x:v>Micromesistius</x:v>
      </x:c>
      <x:c r="E88" s="17" t="str">
        <x:v>Gadidae</x:v>
      </x:c>
      <x:c r="F88" s="17" t="str">
        <x:v>Other demersal fishes</x:v>
      </x:c>
      <x:c r="G88" s="17" t="str">
        <x:v>Teleostei</x:v>
      </x:c>
      <x:c r="H88" s="17" t="str">
        <x:v>Ecological proxy</x:v>
      </x:c>
      <x:c r="I88" s="52" t="n">
        <x:v>5.2</x:v>
      </x:c>
      <x:c r="J88" s="52" t="n">
        <x:v>0.7999999999999998</x:v>
      </x:c>
      <x:c r="K88" s="52" t="n">
        <x:v>0.7999999999999998</x:v>
      </x:c>
      <x:c r="L88" s="53" t="n">
        <x:v>18.181818181818176</x:v>
      </x:c>
      <x:c r="M88" s="17" t="str">
        <x:v>Predicted</x:v>
      </x:c>
      <x:c r="N88" s="17" t="str">
        <x:v>Exact taxon absent from all remaining sources</x:v>
      </x:c>
    </x:row>
    <x:row r="89" ht="15" hidden="0" customHeight="1">
      <x:c r="A89" s="17" t="str">
        <x:v>Spitz et al. 2010</x:v>
      </x:c>
      <x:c r="B89" s="17" t="str">
        <x:v>Microstomus kitt</x:v>
      </x:c>
      <x:c r="C89" s="52" t="n">
        <x:v>5.8</x:v>
      </x:c>
      <x:c r="D89" s="17" t="str">
        <x:v>Microstomus</x:v>
      </x:c>
      <x:c r="E89" s="17" t="str">
        <x:v>Pleuronectidae</x:v>
      </x:c>
      <x:c r="F89" s="17" t="str">
        <x:v>Demersal flatfishes</x:v>
      </x:c>
      <x:c r="G89" s="17" t="str">
        <x:v>Teleostei</x:v>
      </x:c>
      <x:c r="H89" s="17" t="str">
        <x:v>Family</x:v>
      </x:c>
      <x:c r="I89" s="52" t="n">
        <x:v>4.855</x:v>
      </x:c>
      <x:c r="J89" s="52" t="n">
        <x:v>-0.9449999999999994</x:v>
      </x:c>
      <x:c r="K89" s="52" t="n">
        <x:v>0.9449999999999994</x:v>
      </x:c>
      <x:c r="L89" s="53" t="n">
        <x:v>16.293103448275854</x:v>
      </x:c>
      <x:c r="M89" s="17" t="str">
        <x:v>Predicted</x:v>
      </x:c>
      <x:c r="N89" s="17" t="str">
        <x:v>Exact taxon absent from all remaining sources</x:v>
      </x:c>
    </x:row>
    <x:row r="90" ht="15" hidden="0" customHeight="1">
      <x:c r="A90" s="17" t="str">
        <x:v>Spitz et al. 2010</x:v>
      </x:c>
      <x:c r="B90" s="17" t="str">
        <x:v>Mullus surmuletus</x:v>
      </x:c>
      <x:c r="C90" s="52" t="n">
        <x:v>6.4</x:v>
      </x:c>
      <x:c r="D90" s="17" t="str">
        <x:v>Mullus</x:v>
      </x:c>
      <x:c r="E90" s="17" t="str">
        <x:v>Mullidae</x:v>
      </x:c>
      <x:c r="F90" s="17" t="str">
        <x:v>Unclassified teleosts</x:v>
      </x:c>
      <x:c r="G90" s="17" t="str">
        <x:v>Teleostei</x:v>
      </x:c>
      <x:c r="H90" s="17" t="str">
        <x:v>Ecological proxy</x:v>
      </x:c>
      <x:c r="I90" s="52" t="n">
        <x:v>4.92</x:v>
      </x:c>
      <x:c r="J90" s="52" t="n">
        <x:v>-1.4800000000000004</x:v>
      </x:c>
      <x:c r="K90" s="52" t="n">
        <x:v>1.4800000000000004</x:v>
      </x:c>
      <x:c r="L90" s="53" t="n">
        <x:v>23.125000000000007</x:v>
      </x:c>
      <x:c r="M90" s="17" t="str">
        <x:v>Predicted</x:v>
      </x:c>
      <x:c r="N90" s="17" t="str">
        <x:v>Exact taxon absent from all remaining sources</x:v>
      </x:c>
    </x:row>
    <x:row r="91" ht="15" hidden="0" customHeight="1">
      <x:c r="A91" s="17" t="str">
        <x:v>Spitz et al. 2010</x:v>
      </x:c>
      <x:c r="B91" s="17" t="str">
        <x:v>Necora puber</x:v>
      </x:c>
      <x:c r="C91" s="52" t="n">
        <x:v>6.9</x:v>
      </x:c>
      <x:c r="D91" s="17" t="str">
        <x:v>Necora</x:v>
      </x:c>
      <x:c r="E91" s="17" t="str">
        <x:v>Portunidae</x:v>
      </x:c>
      <x:c r="F91" s="17" t="str">
        <x:v>Benthic decapods</x:v>
      </x:c>
      <x:c r="G91" s="17" t="str">
        <x:v>Crustacea</x:v>
      </x:c>
      <x:c r="H91" s="17" t="str">
        <x:v>Ecological proxy</x:v>
      </x:c>
      <x:c r="I91" s="52" t="n">
        <x:v>3.07</x:v>
      </x:c>
      <x:c r="J91" s="52" t="n">
        <x:v>-3.8300000000000005</x:v>
      </x:c>
      <x:c r="K91" s="52" t="n">
        <x:v>3.8300000000000005</x:v>
      </x:c>
      <x:c r="L91" s="53" t="n">
        <x:v>55.5072463768116</x:v>
      </x:c>
      <x:c r="M91" s="17" t="str">
        <x:v>Predicted</x:v>
      </x:c>
      <x:c r="N91" s="17" t="str">
        <x:v>Exact taxon absent from all remaining sources</x:v>
      </x:c>
    </x:row>
    <x:row r="92" ht="15" hidden="0" customHeight="1">
      <x:c r="A92" s="17" t="str">
        <x:v>Spitz et al. 2010</x:v>
      </x:c>
      <x:c r="B92" s="17" t="str">
        <x:v>Normichthys operosa</x:v>
      </x:c>
      <x:c r="C92" s="52" t="n">
        <x:v>2.6</x:v>
      </x:c>
      <x:c r="D92" s="17" t="str">
        <x:v>Normichthys</x:v>
      </x:c>
      <x:c r="E92" s="17" t="str">
        <x:v>Platytroctidae</x:v>
      </x:c>
      <x:c r="F92" s="17" t="str">
        <x:v>Unclassified teleosts</x:v>
      </x:c>
      <x:c r="G92" s="17" t="str">
        <x:v>Teleostei</x:v>
      </x:c>
      <x:c r="H92" s="17" t="str">
        <x:v>Ecological proxy</x:v>
      </x:c>
      <x:c r="I92" s="52" t="n">
        <x:v>4.92</x:v>
      </x:c>
      <x:c r="J92" s="52" t="n">
        <x:v>2.32</x:v>
      </x:c>
      <x:c r="K92" s="52" t="n">
        <x:v>2.32</x:v>
      </x:c>
      <x:c r="L92" s="53" t="n">
        <x:v>89.23076923076923</x:v>
      </x:c>
      <x:c r="M92" s="17" t="str">
        <x:v>Predicted</x:v>
      </x:c>
      <x:c r="N92" s="17" t="str">
        <x:v>Exact taxon absent from all remaining sources</x:v>
      </x:c>
    </x:row>
    <x:row r="93" ht="15" hidden="0" customHeight="1">
      <x:c r="A93" s="17" t="str">
        <x:v>Spitz et al. 2010</x:v>
      </x:c>
      <x:c r="B93" s="17" t="str">
        <x:v>Notoscopelus kroyeri</x:v>
      </x:c>
      <x:c r="C93" s="52" t="n">
        <x:v>7.9</x:v>
      </x:c>
      <x:c r="D93" s="17" t="str">
        <x:v>Notoscopelus</x:v>
      </x:c>
      <x:c r="E93" s="17" t="str">
        <x:v>Myctophidae</x:v>
      </x:c>
      <x:c r="F93" s="17" t="str">
        <x:v>Mesopelagic forage fishes</x:v>
      </x:c>
      <x:c r="G93" s="17" t="str">
        <x:v>Teleostei</x:v>
      </x:c>
      <x:c r="H93" s="17" t="str">
        <x:v>Family</x:v>
      </x:c>
      <x:c r="I93" s="52" t="n">
        <x:v>7</x:v>
      </x:c>
      <x:c r="J93" s="52" t="n">
        <x:v>-0.9000000000000004</x:v>
      </x:c>
      <x:c r="K93" s="52" t="n">
        <x:v>0.9000000000000004</x:v>
      </x:c>
      <x:c r="L93" s="53" t="n">
        <x:v>11.392405063291143</x:v>
      </x:c>
      <x:c r="M93" s="17" t="str">
        <x:v>Predicted</x:v>
      </x:c>
      <x:c r="N93" s="17" t="str">
        <x:v>Exact taxon absent from all remaining sources</x:v>
      </x:c>
    </x:row>
    <x:row r="94" ht="15" hidden="0" customHeight="1">
      <x:c r="A94" s="17" t="str">
        <x:v>Spitz et al. 2010</x:v>
      </x:c>
      <x:c r="B94" s="17" t="str">
        <x:v>Pachygrapsus marmoratus</x:v>
      </x:c>
      <x:c r="C94" s="52" t="n">
        <x:v>5.8</x:v>
      </x:c>
      <x:c r="D94" s="17" t="str">
        <x:v>Pachygrapsus</x:v>
      </x:c>
      <x:c r="E94" s="17" t="str">
        <x:v>Grapsidae</x:v>
      </x:c>
      <x:c r="F94" s="17" t="str">
        <x:v>Benthic decapods</x:v>
      </x:c>
      <x:c r="G94" s="17" t="str">
        <x:v>Crustacea</x:v>
      </x:c>
      <x:c r="H94" s="17" t="str">
        <x:v>Ecological proxy</x:v>
      </x:c>
      <x:c r="I94" s="52" t="n">
        <x:v>3.07</x:v>
      </x:c>
      <x:c r="J94" s="52" t="n">
        <x:v>-2.73</x:v>
      </x:c>
      <x:c r="K94" s="52" t="n">
        <x:v>2.73</x:v>
      </x:c>
      <x:c r="L94" s="53" t="n">
        <x:v>47.06896551724138</x:v>
      </x:c>
      <x:c r="M94" s="17" t="str">
        <x:v>Predicted</x:v>
      </x:c>
      <x:c r="N94" s="17" t="str">
        <x:v>Exact taxon absent from all remaining sources</x:v>
      </x:c>
    </x:row>
    <x:row r="95" ht="15" hidden="0" customHeight="1">
      <x:c r="A95" s="17" t="str">
        <x:v>Spitz et al. 2010</x:v>
      </x:c>
      <x:c r="B95" s="17" t="str">
        <x:v>Pagellus acarne</x:v>
      </x:c>
      <x:c r="C95" s="52" t="n">
        <x:v>9.4</x:v>
      </x:c>
      <x:c r="D95" s="17" t="str">
        <x:v>Pagellus</x:v>
      </x:c>
      <x:c r="E95" s="17" t="str">
        <x:v>Sparidae</x:v>
      </x:c>
      <x:c r="F95" s="17" t="str">
        <x:v>Unclassified teleosts</x:v>
      </x:c>
      <x:c r="G95" s="17" t="str">
        <x:v>Teleostei</x:v>
      </x:c>
      <x:c r="H95" s="17" t="str">
        <x:v>Family</x:v>
      </x:c>
      <x:c r="I95" s="52" t="n">
        <x:v>5.859999999999999</x:v>
      </x:c>
      <x:c r="J95" s="52" t="n">
        <x:v>-3.540000000000001</x:v>
      </x:c>
      <x:c r="K95" s="52" t="n">
        <x:v>3.540000000000001</x:v>
      </x:c>
      <x:c r="L95" s="53" t="n">
        <x:v>37.65957446808512</x:v>
      </x:c>
      <x:c r="M95" s="17" t="str">
        <x:v>Predicted</x:v>
      </x:c>
      <x:c r="N95" s="17" t="str">
        <x:v>Exact taxon absent from all remaining sources</x:v>
      </x:c>
    </x:row>
    <x:row r="96" ht="15" hidden="0" customHeight="1">
      <x:c r="A96" s="17" t="str">
        <x:v>Spitz et al. 2010</x:v>
      </x:c>
      <x:c r="B96" s="17" t="str">
        <x:v>Palaemon longirostris</x:v>
      </x:c>
      <x:c r="C96" s="52" t="n">
        <x:v>3.4</x:v>
      </x:c>
      <x:c r="D96" s="17" t="str">
        <x:v>Palaemon</x:v>
      </x:c>
      <x:c r="E96" s="17" t="str">
        <x:v>Palaemonidae</x:v>
      </x:c>
      <x:c r="F96" s="17" t="str">
        <x:v>Decapods (ecology unspecified)</x:v>
      </x:c>
      <x:c r="G96" s="17" t="str">
        <x:v>Crustacea</x:v>
      </x:c>
      <x:c r="H96" s="17" t="str">
        <x:v>Ecological proxy</x:v>
      </x:c>
      <x:c r="I96" s="52" t="n">
        <x:v>3.84</x:v>
      </x:c>
      <x:c r="J96" s="52" t="n">
        <x:v>0.43999999999999995</x:v>
      </x:c>
      <x:c r="K96" s="52" t="n">
        <x:v>0.43999999999999995</x:v>
      </x:c>
      <x:c r="L96" s="53" t="n">
        <x:v>12.941176470588234</x:v>
      </x:c>
      <x:c r="M96" s="17" t="str">
        <x:v>Predicted</x:v>
      </x:c>
      <x:c r="N96" s="17" t="str">
        <x:v>Exact taxon absent from all remaining sources</x:v>
      </x:c>
    </x:row>
    <x:row r="97" ht="15" hidden="0" customHeight="1">
      <x:c r="A97" s="17" t="str">
        <x:v>Spitz et al. 2010</x:v>
      </x:c>
      <x:c r="B97" s="17" t="str">
        <x:v>Paralipophrys trigloides</x:v>
      </x:c>
      <x:c r="C97" s="52" t="n">
        <x:v>5.5</x:v>
      </x:c>
      <x:c r="D97" s="17" t="str">
        <x:v>Paralipophrys</x:v>
      </x:c>
      <x:c r="E97" s="17" t="str">
        <x:v>Blenniidae</x:v>
      </x:c>
      <x:c r="F97" s="17" t="str">
        <x:v>Unclassified teleosts</x:v>
      </x:c>
      <x:c r="G97" s="17" t="str">
        <x:v>Teleostei</x:v>
      </x:c>
      <x:c r="H97" s="17" t="str">
        <x:v>Ecological proxy</x:v>
      </x:c>
      <x:c r="I97" s="52" t="n">
        <x:v>4.92</x:v>
      </x:c>
      <x:c r="J97" s="52" t="n">
        <x:v>-0.5800000000000001</x:v>
      </x:c>
      <x:c r="K97" s="52" t="n">
        <x:v>0.5800000000000001</x:v>
      </x:c>
      <x:c r="L97" s="53" t="n">
        <x:v>10.545454545454547</x:v>
      </x:c>
      <x:c r="M97" s="17" t="str">
        <x:v>Predicted</x:v>
      </x:c>
      <x:c r="N97" s="17" t="str">
        <x:v>Exact taxon absent from all remaining sources</x:v>
      </x:c>
    </x:row>
    <x:row r="98" ht="15" hidden="0" customHeight="1">
      <x:c r="A98" s="17" t="str">
        <x:v>Spitz et al. 2010</x:v>
      </x:c>
      <x:c r="B98" s="17" t="str">
        <x:v>Pasiphaea sivado</x:v>
      </x:c>
      <x:c r="C98" s="52" t="n">
        <x:v>4.1</x:v>
      </x:c>
      <x:c r="D98" s="17" t="str">
        <x:v>Pasiphaea</x:v>
      </x:c>
      <x:c r="E98" s="17" t="str">
        <x:v>Pasiphaeidae</x:v>
      </x:c>
      <x:c r="F98" s="17" t="str">
        <x:v>Decapods (ecology unspecified)</x:v>
      </x:c>
      <x:c r="G98" s="17" t="str">
        <x:v>Crustacea</x:v>
      </x:c>
      <x:c r="H98" s="17" t="str">
        <x:v>Ecological proxy</x:v>
      </x:c>
      <x:c r="I98" s="52" t="n">
        <x:v>3.84</x:v>
      </x:c>
      <x:c r="J98" s="52" t="n">
        <x:v>-0.2599999999999998</x:v>
      </x:c>
      <x:c r="K98" s="52" t="n">
        <x:v>0.2599999999999998</x:v>
      </x:c>
      <x:c r="L98" s="53" t="n">
        <x:v>6.341463414634142</x:v>
      </x:c>
      <x:c r="M98" s="17" t="str">
        <x:v>Predicted</x:v>
      </x:c>
      <x:c r="N98" s="17" t="str">
        <x:v>Exact taxon absent from all remaining sources</x:v>
      </x:c>
    </x:row>
    <x:row r="99" ht="15" hidden="0" customHeight="1">
      <x:c r="A99" s="17" t="str">
        <x:v>Spitz et al. 2010</x:v>
      </x:c>
      <x:c r="B99" s="17" t="str">
        <x:v>Phycis blennoides</x:v>
      </x:c>
      <x:c r="C99" s="52" t="n">
        <x:v>5</x:v>
      </x:c>
      <x:c r="D99" s="17" t="str">
        <x:v>Phycis</x:v>
      </x:c>
      <x:c r="E99" s="17" t="str">
        <x:v>Phycidae</x:v>
      </x:c>
      <x:c r="F99" s="17" t="str">
        <x:v>Unclassified teleosts</x:v>
      </x:c>
      <x:c r="G99" s="17" t="str">
        <x:v>Teleostei</x:v>
      </x:c>
      <x:c r="H99" s="17" t="str">
        <x:v>Ecological proxy</x:v>
      </x:c>
      <x:c r="I99" s="52" t="n">
        <x:v>4.92</x:v>
      </x:c>
      <x:c r="J99" s="52" t="n">
        <x:v>-0.08000000000000007</x:v>
      </x:c>
      <x:c r="K99" s="52" t="n">
        <x:v>0.08000000000000007</x:v>
      </x:c>
      <x:c r="L99" s="53" t="n">
        <x:v>1.6000000000000014</x:v>
      </x:c>
      <x:c r="M99" s="17" t="str">
        <x:v>Predicted</x:v>
      </x:c>
      <x:c r="N99" s="17" t="str">
        <x:v>Exact taxon absent from all remaining sources</x:v>
      </x:c>
    </x:row>
    <x:row r="100" ht="15" hidden="0" customHeight="1">
      <x:c r="A100" s="17" t="str">
        <x:v>Spitz et al. 2010</x:v>
      </x:c>
      <x:c r="B100" s="17" t="str">
        <x:v>Pleuronectes platessa</x:v>
      </x:c>
      <x:c r="C100" s="52" t="n">
        <x:v>5.8</x:v>
      </x:c>
      <x:c r="D100" s="17" t="str">
        <x:v>Pleuronectes</x:v>
      </x:c>
      <x:c r="E100" s="17" t="str">
        <x:v>Pleuronectidae</x:v>
      </x:c>
      <x:c r="F100" s="17" t="str">
        <x:v>Demersal flatfishes</x:v>
      </x:c>
      <x:c r="G100" s="17" t="str">
        <x:v>Teleostei</x:v>
      </x:c>
      <x:c r="H100" s="17" t="str">
        <x:v>Family</x:v>
      </x:c>
      <x:c r="I100" s="52" t="n">
        <x:v>4.855</x:v>
      </x:c>
      <x:c r="J100" s="52" t="n">
        <x:v>-0.9449999999999994</x:v>
      </x:c>
      <x:c r="K100" s="52" t="n">
        <x:v>0.9449999999999994</x:v>
      </x:c>
      <x:c r="L100" s="53" t="n">
        <x:v>16.293103448275854</x:v>
      </x:c>
      <x:c r="M100" s="17" t="str">
        <x:v>Predicted</x:v>
      </x:c>
      <x:c r="N100" s="17" t="str">
        <x:v>Exact taxon absent from all remaining sources</x:v>
      </x:c>
    </x:row>
    <x:row r="101" ht="15" hidden="0" customHeight="1">
      <x:c r="A101" s="17" t="str">
        <x:v>Spitz et al. 2010</x:v>
      </x:c>
      <x:c r="B101" s="17" t="str">
        <x:v>Pollachius pollachius</x:v>
      </x:c>
      <x:c r="C101" s="52" t="n">
        <x:v>4.2</x:v>
      </x:c>
      <x:c r="D101" s="17" t="str">
        <x:v>Pollachius</x:v>
      </x:c>
      <x:c r="E101" s="17" t="str">
        <x:v>Gadidae</x:v>
      </x:c>
      <x:c r="F101" s="17" t="str">
        <x:v>Other demersal fishes</x:v>
      </x:c>
      <x:c r="G101" s="17" t="str">
        <x:v>Teleostei</x:v>
      </x:c>
      <x:c r="H101" s="17" t="str">
        <x:v>Ecological proxy</x:v>
      </x:c>
      <x:c r="I101" s="52" t="n">
        <x:v>5.2</x:v>
      </x:c>
      <x:c r="J101" s="52" t="n">
        <x:v>1</x:v>
      </x:c>
      <x:c r="K101" s="52" t="n">
        <x:v>1</x:v>
      </x:c>
      <x:c r="L101" s="53" t="n">
        <x:v>23.809523809523807</x:v>
      </x:c>
      <x:c r="M101" s="17" t="str">
        <x:v>Predicted</x:v>
      </x:c>
      <x:c r="N101" s="17" t="str">
        <x:v>Exact taxon absent from all remaining sources</x:v>
      </x:c>
    </x:row>
    <x:row r="102" ht="15" hidden="0" customHeight="1">
      <x:c r="A102" s="17" t="str">
        <x:v>Spitz et al. 2010</x:v>
      </x:c>
      <x:c r="B102" s="17" t="str">
        <x:v>Polybius henslowii</x:v>
      </x:c>
      <x:c r="C102" s="52" t="n">
        <x:v>4.2</x:v>
      </x:c>
      <x:c r="D102" s="17" t="str">
        <x:v>Polybius</x:v>
      </x:c>
      <x:c r="E102" s="17" t="str">
        <x:v>Portunidae</x:v>
      </x:c>
      <x:c r="F102" s="17" t="str">
        <x:v>Benthic decapods</x:v>
      </x:c>
      <x:c r="G102" s="17" t="str">
        <x:v>Crustacea</x:v>
      </x:c>
      <x:c r="H102" s="17" t="str">
        <x:v>Ecological proxy</x:v>
      </x:c>
      <x:c r="I102" s="52" t="n">
        <x:v>3.07</x:v>
      </x:c>
      <x:c r="J102" s="52" t="n">
        <x:v>-1.1300000000000003</x:v>
      </x:c>
      <x:c r="K102" s="52" t="n">
        <x:v>1.1300000000000003</x:v>
      </x:c>
      <x:c r="L102" s="53" t="n">
        <x:v>26.90476190476191</x:v>
      </x:c>
      <x:c r="M102" s="17" t="str">
        <x:v>Predicted</x:v>
      </x:c>
      <x:c r="N102" s="17" t="str">
        <x:v>Exact taxon absent from all remaining sources</x:v>
      </x:c>
    </x:row>
    <x:row r="103" ht="15" hidden="0" customHeight="1">
      <x:c r="A103" s="17" t="str">
        <x:v>Spitz et al. 2010</x:v>
      </x:c>
      <x:c r="B103" s="17" t="str">
        <x:v>Sardina pilchardus</x:v>
      </x:c>
      <x:c r="C103" s="52" t="n">
        <x:v>8.7</x:v>
      </x:c>
      <x:c r="D103" s="17" t="str">
        <x:v>Sardina</x:v>
      </x:c>
      <x:c r="E103" s="17" t="str">
        <x:v>Clupeidae</x:v>
      </x:c>
      <x:c r="F103" s="17" t="str">
        <x:v>Small pelagic forage fishes</x:v>
      </x:c>
      <x:c r="G103" s="17" t="str">
        <x:v>Teleostei</x:v>
      </x:c>
      <x:c r="H103" s="17" t="str">
        <x:v>Family</x:v>
      </x:c>
      <x:c r="I103" s="52" t="n">
        <x:v>6.75</x:v>
      </x:c>
      <x:c r="J103" s="52" t="n">
        <x:v>-1.9499999999999993</x:v>
      </x:c>
      <x:c r="K103" s="52" t="n">
        <x:v>1.9499999999999993</x:v>
      </x:c>
      <x:c r="L103" s="53" t="n">
        <x:v>22.41379310344827</x:v>
      </x:c>
      <x:c r="M103" s="17" t="str">
        <x:v>Predicted</x:v>
      </x:c>
      <x:c r="N103" s="17" t="str">
        <x:v>Exact taxon absent from all remaining sources</x:v>
      </x:c>
    </x:row>
    <x:row r="104" ht="15" hidden="0" customHeight="1">
      <x:c r="A104" s="17" t="str">
        <x:v>Spitz et al. 2010</x:v>
      </x:c>
      <x:c r="B104" s="17" t="str">
        <x:v>Scomberesox saurus</x:v>
      </x:c>
      <x:c r="C104" s="52" t="n">
        <x:v>5.8</x:v>
      </x:c>
      <x:c r="D104" s="17" t="str">
        <x:v>Scomberesox</x:v>
      </x:c>
      <x:c r="E104" s="17" t="str">
        <x:v>Scomberesocidae</x:v>
      </x:c>
      <x:c r="F104" s="17" t="str">
        <x:v>Unclassified teleosts</x:v>
      </x:c>
      <x:c r="G104" s="17" t="str">
        <x:v>Teleostei</x:v>
      </x:c>
      <x:c r="H104" s="17" t="str">
        <x:v>Family</x:v>
      </x:c>
      <x:c r="I104" s="52" t="n">
        <x:v>7</x:v>
      </x:c>
      <x:c r="J104" s="52" t="n">
        <x:v>1.2000000000000002</x:v>
      </x:c>
      <x:c r="K104" s="52" t="n">
        <x:v>1.2000000000000002</x:v>
      </x:c>
      <x:c r="L104" s="53" t="n">
        <x:v>20.689655172413797</x:v>
      </x:c>
      <x:c r="M104" s="17" t="str">
        <x:v>Predicted</x:v>
      </x:c>
      <x:c r="N104" s="17" t="str">
        <x:v>Exact taxon absent from all remaining sources</x:v>
      </x:c>
    </x:row>
    <x:row r="105" ht="15" hidden="0" customHeight="1">
      <x:c r="A105" s="17" t="str">
        <x:v>Spitz et al. 2010</x:v>
      </x:c>
      <x:c r="B105" s="17" t="str">
        <x:v>Scorpaena loppei</x:v>
      </x:c>
      <x:c r="C105" s="52" t="n">
        <x:v>5.1</x:v>
      </x:c>
      <x:c r="D105" s="17" t="str">
        <x:v>Scorpaena</x:v>
      </x:c>
      <x:c r="E105" s="17" t="str">
        <x:v>Scorpaenidae</x:v>
      </x:c>
      <x:c r="F105" s="17" t="str">
        <x:v>Unclassified teleosts</x:v>
      </x:c>
      <x:c r="G105" s="17" t="str">
        <x:v>Teleostei</x:v>
      </x:c>
      <x:c r="H105" s="17" t="str">
        <x:v>Ecological proxy</x:v>
      </x:c>
      <x:c r="I105" s="52" t="n">
        <x:v>4.92</x:v>
      </x:c>
      <x:c r="J105" s="52" t="n">
        <x:v>-0.17999999999999972</x:v>
      </x:c>
      <x:c r="K105" s="52" t="n">
        <x:v>0.17999999999999972</x:v>
      </x:c>
      <x:c r="L105" s="53" t="n">
        <x:v>3.529411764705877</x:v>
      </x:c>
      <x:c r="M105" s="17" t="str">
        <x:v>Predicted</x:v>
      </x:c>
      <x:c r="N105" s="17" t="str">
        <x:v>Exact taxon absent from all remaining sources</x:v>
      </x:c>
    </x:row>
    <x:row r="106" ht="15" hidden="0" customHeight="1">
      <x:c r="A106" s="17" t="str">
        <x:v>Spitz et al. 2010</x:v>
      </x:c>
      <x:c r="B106" s="17" t="str">
        <x:v>Scyliorhinus canicula</x:v>
      </x:c>
      <x:c r="C106" s="52" t="n">
        <x:v>6.4</x:v>
      </x:c>
      <x:c r="D106" s="17" t="str">
        <x:v>Scyliorhinus</x:v>
      </x:c>
      <x:c r="E106" s="17" t="str">
        <x:v>Scyliorhinidae</x:v>
      </x:c>
      <x:c r="F106" s="17" t="str">
        <x:v>Demersal sharks</x:v>
      </x:c>
      <x:c r="G106" s="17" t="str">
        <x:v>Chondrichthyes</x:v>
      </x:c>
      <x:c r="H106" s="17" t="str">
        <x:v>No fallback</x:v>
      </x:c>
      <x:c r="I106" s="52"/>
      <x:c r="J106" s="52"/>
      <x:c r="K106" s="52"/>
      <x:c r="L106" s="53"/>
      <x:c r="M106" s="17" t="str">
        <x:v>No fallback</x:v>
      </x:c>
      <x:c r="N106" s="17" t="str">
        <x:v>Exact taxon absent from all remaining sources</x:v>
      </x:c>
    </x:row>
    <x:row r="107" ht="15" hidden="0" customHeight="1">
      <x:c r="A107" s="17" t="str">
        <x:v>Spitz et al. 2010</x:v>
      </x:c>
      <x:c r="B107" s="17" t="str">
        <x:v>Sepia officinalis</x:v>
      </x:c>
      <x:c r="C107" s="52" t="n">
        <x:v>3.8</x:v>
      </x:c>
      <x:c r="D107" s="17" t="str">
        <x:v>Sepia</x:v>
      </x:c>
      <x:c r="E107" s="17" t="str">
        <x:v>Sepiidae</x:v>
      </x:c>
      <x:c r="F107" s="17" t="str">
        <x:v>Demersal/benthopelagic cuttlefishes</x:v>
      </x:c>
      <x:c r="G107" s="17" t="str">
        <x:v>Cephalopoda</x:v>
      </x:c>
      <x:c r="H107" s="17" t="str">
        <x:v>Broad</x:v>
      </x:c>
      <x:c r="I107" s="52" t="n">
        <x:v>5.16</x:v>
      </x:c>
      <x:c r="J107" s="52" t="n">
        <x:v>1.3600000000000003</x:v>
      </x:c>
      <x:c r="K107" s="52" t="n">
        <x:v>1.3600000000000003</x:v>
      </x:c>
      <x:c r="L107" s="53" t="n">
        <x:v>35.789473684210535</x:v>
      </x:c>
      <x:c r="M107" s="17" t="str">
        <x:v>Predicted</x:v>
      </x:c>
      <x:c r="N107" s="17" t="str">
        <x:v>Exact taxon absent from all remaining sources</x:v>
      </x:c>
    </x:row>
    <x:row r="108" ht="15" hidden="0" customHeight="1">
      <x:c r="A108" s="17" t="str">
        <x:v>Spitz et al. 2010</x:v>
      </x:c>
      <x:c r="B108" s="17" t="str">
        <x:v>Serrivomer beanii</x:v>
      </x:c>
      <x:c r="C108" s="52" t="n">
        <x:v>2.1</x:v>
      </x:c>
      <x:c r="D108" s="17" t="str">
        <x:v>Serrivomer</x:v>
      </x:c>
      <x:c r="E108" s="17" t="str">
        <x:v>Serrivomeridae</x:v>
      </x:c>
      <x:c r="F108" s="17" t="str">
        <x:v>Unclassified teleosts</x:v>
      </x:c>
      <x:c r="G108" s="17" t="str">
        <x:v>Teleostei</x:v>
      </x:c>
      <x:c r="H108" s="17" t="str">
        <x:v>Ecological proxy</x:v>
      </x:c>
      <x:c r="I108" s="52" t="n">
        <x:v>4.92</x:v>
      </x:c>
      <x:c r="J108" s="52" t="n">
        <x:v>2.82</x:v>
      </x:c>
      <x:c r="K108" s="52" t="n">
        <x:v>2.82</x:v>
      </x:c>
      <x:c r="L108" s="53" t="n">
        <x:v>134.28571428571428</x:v>
      </x:c>
      <x:c r="M108" s="17" t="str">
        <x:v>Predicted</x:v>
      </x:c>
      <x:c r="N108" s="17" t="str">
        <x:v>Exact taxon absent from all remaining sources</x:v>
      </x:c>
    </x:row>
    <x:row r="109" ht="15" hidden="0" customHeight="1">
      <x:c r="A109" s="17" t="str">
        <x:v>Spitz et al. 2010</x:v>
      </x:c>
      <x:c r="B109" s="17" t="str">
        <x:v>Solea solea</x:v>
      </x:c>
      <x:c r="C109" s="52" t="n">
        <x:v>5</x:v>
      </x:c>
      <x:c r="D109" s="17" t="str">
        <x:v>Solea</x:v>
      </x:c>
      <x:c r="E109" s="17" t="str">
        <x:v>Soleidae</x:v>
      </x:c>
      <x:c r="F109" s="17" t="str">
        <x:v>Demersal flatfishes</x:v>
      </x:c>
      <x:c r="G109" s="17" t="str">
        <x:v>Teleostei</x:v>
      </x:c>
      <x:c r="H109" s="17" t="str">
        <x:v>Ecological proxy</x:v>
      </x:c>
      <x:c r="I109" s="52" t="n">
        <x:v>4.98</x:v>
      </x:c>
      <x:c r="J109" s="52" t="n">
        <x:v>-0.019999999999999574</x:v>
      </x:c>
      <x:c r="K109" s="52" t="n">
        <x:v>0.019999999999999574</x:v>
      </x:c>
      <x:c r="L109" s="53" t="n">
        <x:v>0.39999999999999153</x:v>
      </x:c>
      <x:c r="M109" s="17" t="str">
        <x:v>Predicted</x:v>
      </x:c>
      <x:c r="N109" s="17" t="str">
        <x:v>Exact taxon absent from all remaining sources</x:v>
      </x:c>
    </x:row>
    <x:row r="110" ht="15" hidden="0" customHeight="1">
      <x:c r="A110" s="17" t="str">
        <x:v>Spitz et al. 2010</x:v>
      </x:c>
      <x:c r="B110" s="17" t="str">
        <x:v>Spondyliosoma cantharus</x:v>
      </x:c>
      <x:c r="C110" s="52" t="n">
        <x:v>6.9</x:v>
      </x:c>
      <x:c r="D110" s="17" t="str">
        <x:v>Spondyliosoma</x:v>
      </x:c>
      <x:c r="E110" s="17" t="str">
        <x:v>Sparidae</x:v>
      </x:c>
      <x:c r="F110" s="17" t="str">
        <x:v>Unclassified teleosts</x:v>
      </x:c>
      <x:c r="G110" s="17" t="str">
        <x:v>Teleostei</x:v>
      </x:c>
      <x:c r="H110" s="17" t="str">
        <x:v>Family</x:v>
      </x:c>
      <x:c r="I110" s="52" t="n">
        <x:v>5.859999999999999</x:v>
      </x:c>
      <x:c r="J110" s="52" t="n">
        <x:v>-1.040000000000001</x:v>
      </x:c>
      <x:c r="K110" s="52" t="n">
        <x:v>1.040000000000001</x:v>
      </x:c>
      <x:c r="L110" s="53" t="n">
        <x:v>15.072463768115954</x:v>
      </x:c>
      <x:c r="M110" s="17" t="str">
        <x:v>Predicted</x:v>
      </x:c>
      <x:c r="N110" s="17" t="str">
        <x:v>Exact taxon absent from all remaining sources</x:v>
      </x:c>
    </x:row>
    <x:row r="111" ht="15" hidden="0" customHeight="1">
      <x:c r="A111" s="17" t="str">
        <x:v>Spitz et al. 2010</x:v>
      </x:c>
      <x:c r="B111" s="17" t="str">
        <x:v>Sprattus sprattus</x:v>
      </x:c>
      <x:c r="C111" s="52" t="n">
        <x:v>6.5</x:v>
      </x:c>
      <x:c r="D111" s="17" t="str">
        <x:v>Sprattus</x:v>
      </x:c>
      <x:c r="E111" s="17" t="str">
        <x:v>Clupeidae</x:v>
      </x:c>
      <x:c r="F111" s="17" t="str">
        <x:v>Small pelagic forage fishes</x:v>
      </x:c>
      <x:c r="G111" s="17" t="str">
        <x:v>Teleostei</x:v>
      </x:c>
      <x:c r="H111" s="17" t="str">
        <x:v>Family</x:v>
      </x:c>
      <x:c r="I111" s="52" t="n">
        <x:v>6.75</x:v>
      </x:c>
      <x:c r="J111" s="52" t="n">
        <x:v>0.25</x:v>
      </x:c>
      <x:c r="K111" s="52" t="n">
        <x:v>0.25</x:v>
      </x:c>
      <x:c r="L111" s="53" t="n">
        <x:v>3.8461538461538463</x:v>
      </x:c>
      <x:c r="M111" s="17" t="str">
        <x:v>Predicted</x:v>
      </x:c>
      <x:c r="N111" s="17" t="str">
        <x:v>Exact taxon absent from all remaining sources</x:v>
      </x:c>
    </x:row>
    <x:row r="112" ht="15" hidden="0" customHeight="1">
      <x:c r="A112" s="17" t="str">
        <x:v>Spitz et al. 2010</x:v>
      </x:c>
      <x:c r="B112" s="17" t="str">
        <x:v>Stomias boa</x:v>
      </x:c>
      <x:c r="C112" s="52" t="n">
        <x:v>2.8</x:v>
      </x:c>
      <x:c r="D112" s="17" t="str">
        <x:v>Stomias</x:v>
      </x:c>
      <x:c r="E112" s="17" t="str">
        <x:v>Stomiidae</x:v>
      </x:c>
      <x:c r="F112" s="17" t="str">
        <x:v>Unclassified teleosts</x:v>
      </x:c>
      <x:c r="G112" s="17" t="str">
        <x:v>Teleostei</x:v>
      </x:c>
      <x:c r="H112" s="17" t="str">
        <x:v>Ecological proxy</x:v>
      </x:c>
      <x:c r="I112" s="52" t="n">
        <x:v>4.92</x:v>
      </x:c>
      <x:c r="J112" s="52" t="n">
        <x:v>2.12</x:v>
      </x:c>
      <x:c r="K112" s="52" t="n">
        <x:v>2.12</x:v>
      </x:c>
      <x:c r="L112" s="53" t="n">
        <x:v>75.71428571428572</x:v>
      </x:c>
      <x:c r="M112" s="17" t="str">
        <x:v>Predicted</x:v>
      </x:c>
      <x:c r="N112" s="17" t="str">
        <x:v>Exact taxon absent from all remaining sources</x:v>
      </x:c>
    </x:row>
    <x:row r="113" ht="15" hidden="0" customHeight="1">
      <x:c r="A113" s="17" t="str">
        <x:v>Spitz et al. 2010</x:v>
      </x:c>
      <x:c r="B113" s="17" t="str">
        <x:v>Todaropsis eblanae</x:v>
      </x:c>
      <x:c r="C113" s="52" t="n">
        <x:v>4.4</x:v>
      </x:c>
      <x:c r="D113" s="17" t="str">
        <x:v>Todaropsis</x:v>
      </x:c>
      <x:c r="E113" s="17" t="str">
        <x:v>Ommastrephidae</x:v>
      </x:c>
      <x:c r="F113" s="17" t="str">
        <x:v>Pelagic squids</x:v>
      </x:c>
      <x:c r="G113" s="17" t="str">
        <x:v>Cephalopoda</x:v>
      </x:c>
      <x:c r="H113" s="17" t="str">
        <x:v>Family</x:v>
      </x:c>
      <x:c r="I113" s="52" t="n">
        <x:v>5.45</x:v>
      </x:c>
      <x:c r="J113" s="52" t="n">
        <x:v>1.0499999999999998</x:v>
      </x:c>
      <x:c r="K113" s="52" t="n">
        <x:v>1.0499999999999998</x:v>
      </x:c>
      <x:c r="L113" s="53" t="n">
        <x:v>23.863636363636356</x:v>
      </x:c>
      <x:c r="M113" s="17" t="str">
        <x:v>Predicted</x:v>
      </x:c>
      <x:c r="N113" s="17" t="str">
        <x:v>Exact taxon absent from all remaining sources</x:v>
      </x:c>
    </x:row>
    <x:row r="114" ht="15" hidden="0" customHeight="1">
      <x:c r="A114" s="17" t="str">
        <x:v>Spitz et al. 2010</x:v>
      </x:c>
      <x:c r="B114" s="17" t="str">
        <x:v>Trachinus draco</x:v>
      </x:c>
      <x:c r="C114" s="52" t="n">
        <x:v>5.3</x:v>
      </x:c>
      <x:c r="D114" s="17" t="str">
        <x:v>Trachinus</x:v>
      </x:c>
      <x:c r="E114" s="17" t="str">
        <x:v>Trachinidae</x:v>
      </x:c>
      <x:c r="F114" s="17" t="str">
        <x:v>Unclassified teleosts</x:v>
      </x:c>
      <x:c r="G114" s="17" t="str">
        <x:v>Teleostei</x:v>
      </x:c>
      <x:c r="H114" s="17" t="str">
        <x:v>Ecological proxy</x:v>
      </x:c>
      <x:c r="I114" s="52" t="n">
        <x:v>4.92</x:v>
      </x:c>
      <x:c r="J114" s="52" t="n">
        <x:v>-0.3799999999999999</x:v>
      </x:c>
      <x:c r="K114" s="52" t="n">
        <x:v>0.3799999999999999</x:v>
      </x:c>
      <x:c r="L114" s="53" t="n">
        <x:v>7.169811320754715</x:v>
      </x:c>
      <x:c r="M114" s="17" t="str">
        <x:v>Predicted</x:v>
      </x:c>
      <x:c r="N114" s="17" t="str">
        <x:v>Exact taxon absent from all remaining sources</x:v>
      </x:c>
    </x:row>
    <x:row r="115" ht="15" hidden="0" customHeight="1">
      <x:c r="A115" s="17" t="str">
        <x:v>Spitz et al. 2010</x:v>
      </x:c>
      <x:c r="B115" s="17" t="str">
        <x:v>Trachurus trachurus</x:v>
      </x:c>
      <x:c r="C115" s="52" t="n">
        <x:v>6</x:v>
      </x:c>
      <x:c r="D115" s="17" t="str">
        <x:v>Trachurus</x:v>
      </x:c>
      <x:c r="E115" s="17" t="str">
        <x:v>Carangidae</x:v>
      </x:c>
      <x:c r="F115" s="17" t="str">
        <x:v>Unclassified teleosts</x:v>
      </x:c>
      <x:c r="G115" s="17" t="str">
        <x:v>Teleostei</x:v>
      </x:c>
      <x:c r="H115" s="17" t="str">
        <x:v>Genus</x:v>
      </x:c>
      <x:c r="I115" s="52" t="n">
        <x:v>5.78</x:v>
      </x:c>
      <x:c r="J115" s="52" t="n">
        <x:v>-0.21999999999999975</x:v>
      </x:c>
      <x:c r="K115" s="52" t="n">
        <x:v>0.21999999999999975</x:v>
      </x:c>
      <x:c r="L115" s="53" t="n">
        <x:v>3.6666666666666625</x:v>
      </x:c>
      <x:c r="M115" s="17" t="str">
        <x:v>Predicted</x:v>
      </x:c>
      <x:c r="N115" s="17" t="str">
        <x:v>Exact taxon absent from all remaining sources</x:v>
      </x:c>
    </x:row>
    <x:row r="116" ht="15" hidden="0" customHeight="1">
      <x:c r="A116" s="17" t="str">
        <x:v>Spitz et al. 2010</x:v>
      </x:c>
      <x:c r="B116" s="17" t="str">
        <x:v>Trisopterus luscus</x:v>
      </x:c>
      <x:c r="C116" s="52" t="n">
        <x:v>4.7</x:v>
      </x:c>
      <x:c r="D116" s="17" t="str">
        <x:v>Trisopterus</x:v>
      </x:c>
      <x:c r="E116" s="17" t="str">
        <x:v>Gadidae</x:v>
      </x:c>
      <x:c r="F116" s="17" t="str">
        <x:v>Other demersal fishes</x:v>
      </x:c>
      <x:c r="G116" s="17" t="str">
        <x:v>Teleostei</x:v>
      </x:c>
      <x:c r="H116" s="17" t="str">
        <x:v>Ecological proxy</x:v>
      </x:c>
      <x:c r="I116" s="52" t="n">
        <x:v>5.2</x:v>
      </x:c>
      <x:c r="J116" s="52" t="n">
        <x:v>0.5</x:v>
      </x:c>
      <x:c r="K116" s="52" t="n">
        <x:v>0.5</x:v>
      </x:c>
      <x:c r="L116" s="53" t="n">
        <x:v>10.638297872340425</x:v>
      </x:c>
      <x:c r="M116" s="17" t="str">
        <x:v>Predicted</x:v>
      </x:c>
      <x:c r="N116" s="17" t="str">
        <x:v>Exact taxon absent from all remaining sources</x:v>
      </x:c>
    </x:row>
    <x:row r="117" ht="15" hidden="0" customHeight="1">
      <x:c r="A117" s="17" t="str">
        <x:v>Spitz et al. 2010</x:v>
      </x:c>
      <x:c r="B117" s="17" t="str">
        <x:v>Trisopterus minutus</x:v>
      </x:c>
      <x:c r="C117" s="52" t="n">
        <x:v>5.1</x:v>
      </x:c>
      <x:c r="D117" s="17" t="str">
        <x:v>Trisopterus</x:v>
      </x:c>
      <x:c r="E117" s="17" t="str">
        <x:v>Gadidae</x:v>
      </x:c>
      <x:c r="F117" s="17" t="str">
        <x:v>Other demersal fishes</x:v>
      </x:c>
      <x:c r="G117" s="17" t="str">
        <x:v>Teleostei</x:v>
      </x:c>
      <x:c r="H117" s="17" t="str">
        <x:v>Ecological proxy</x:v>
      </x:c>
      <x:c r="I117" s="52" t="n">
        <x:v>5.2</x:v>
      </x:c>
      <x:c r="J117" s="52" t="n">
        <x:v>0.10000000000000053</x:v>
      </x:c>
      <x:c r="K117" s="52" t="n">
        <x:v>0.10000000000000053</x:v>
      </x:c>
      <x:c r="L117" s="53" t="n">
        <x:v>1.960784313725501</x:v>
      </x:c>
      <x:c r="M117" s="17" t="str">
        <x:v>Predicted</x:v>
      </x:c>
      <x:c r="N117" s="17" t="str">
        <x:v>Exact taxon absent from all remaining sources</x:v>
      </x:c>
    </x:row>
    <x:row r="118" ht="15" hidden="0" customHeight="1">
      <x:c r="A118" s="17" t="str">
        <x:v>Spitz et al. 2010</x:v>
      </x:c>
      <x:c r="B118" s="17" t="str">
        <x:v>Xenodermichtys copei</x:v>
      </x:c>
      <x:c r="C118" s="52" t="n">
        <x:v>2.2</x:v>
      </x:c>
      <x:c r="D118" s="17" t="str">
        <x:v>Xenodermichtys</x:v>
      </x:c>
      <x:c r="E118" s="17" t="str">
        <x:v>Alepocephalidae</x:v>
      </x:c>
      <x:c r="F118" s="17" t="str">
        <x:v>Unclassified teleosts</x:v>
      </x:c>
      <x:c r="G118" s="17" t="str">
        <x:v>Teleostei</x:v>
      </x:c>
      <x:c r="H118" s="17" t="str">
        <x:v>Ecological proxy</x:v>
      </x:c>
      <x:c r="I118" s="52" t="n">
        <x:v>4.92</x:v>
      </x:c>
      <x:c r="J118" s="52" t="n">
        <x:v>2.7199999999999998</x:v>
      </x:c>
      <x:c r="K118" s="52" t="n">
        <x:v>2.7199999999999998</x:v>
      </x:c>
      <x:c r="L118" s="53" t="n">
        <x:v>123.63636363636361</x:v>
      </x:c>
      <x:c r="M118" s="17" t="str">
        <x:v>Predicted</x:v>
      </x:c>
      <x:c r="N118" s="17" t="str">
        <x:v>Exact taxon absent from all remaining sources</x:v>
      </x:c>
    </x:row>
    <x:row r="119" ht="15" hidden="0" customHeight="1">
      <x:c r="A119" s="17" t="str">
        <x:v>Wuenschel et al. 2024</x:v>
      </x:c>
      <x:c r="B119" s="17" t="str">
        <x:v>Alosa pseudoharengus</x:v>
      </x:c>
      <x:c r="C119" s="52" t="n">
        <x:v>6.99</x:v>
      </x:c>
      <x:c r="D119" s="17" t="str">
        <x:v>Alosa</x:v>
      </x:c>
      <x:c r="E119" s="17" t="str">
        <x:v>Clupeidae</x:v>
      </x:c>
      <x:c r="F119" s="17" t="str">
        <x:v>Small pelagic forage fishes</x:v>
      </x:c>
      <x:c r="G119" s="17" t="str">
        <x:v>Teleostei</x:v>
      </x:c>
      <x:c r="H119" s="17" t="str">
        <x:v>Family</x:v>
      </x:c>
      <x:c r="I119" s="52" t="n">
        <x:v>6.875</x:v>
      </x:c>
      <x:c r="J119" s="52" t="n">
        <x:v>-0.11500000000000021</x:v>
      </x:c>
      <x:c r="K119" s="52" t="n">
        <x:v>0.11500000000000021</x:v>
      </x:c>
      <x:c r="L119" s="53" t="n">
        <x:v>1.6452074391988585</x:v>
      </x:c>
      <x:c r="M119" s="17" t="str">
        <x:v>Predicted</x:v>
      </x:c>
      <x:c r="N119" s="17" t="str">
        <x:v>Exact taxon absent from all remaining sources</x:v>
      </x:c>
    </x:row>
    <x:row r="120" ht="15" hidden="0" customHeight="1">
      <x:c r="A120" s="17" t="str">
        <x:v>Wuenschel et al. 2024</x:v>
      </x:c>
      <x:c r="B120" s="17" t="str">
        <x:v>Ammodytes dubius</x:v>
      </x:c>
      <x:c r="C120" s="52" t="n">
        <x:v>6</x:v>
      </x:c>
      <x:c r="D120" s="17" t="str">
        <x:v>Ammodytes</x:v>
      </x:c>
      <x:c r="E120" s="17" t="str">
        <x:v>Ammodytidae</x:v>
      </x:c>
      <x:c r="F120" s="17" t="str">
        <x:v>Small pelagic forage fishes</x:v>
      </x:c>
      <x:c r="G120" s="17" t="str">
        <x:v>Teleostei</x:v>
      </x:c>
      <x:c r="H120" s="17" t="str">
        <x:v>Genus</x:v>
      </x:c>
      <x:c r="I120" s="52" t="n">
        <x:v>5.375</x:v>
      </x:c>
      <x:c r="J120" s="52" t="n">
        <x:v>-0.625</x:v>
      </x:c>
      <x:c r="K120" s="52" t="n">
        <x:v>0.625</x:v>
      </x:c>
      <x:c r="L120" s="53" t="n">
        <x:v>10.416666666666668</x:v>
      </x:c>
      <x:c r="M120" s="17" t="str">
        <x:v>Predicted</x:v>
      </x:c>
      <x:c r="N120" s="17" t="str">
        <x:v>Exact taxon absent from all remaining sources</x:v>
      </x:c>
    </x:row>
    <x:row r="121" ht="15" hidden="0" customHeight="1">
      <x:c r="A121" s="17" t="str">
        <x:v>Wuenschel et al. 2024</x:v>
      </x:c>
      <x:c r="B121" s="17" t="str">
        <x:v>Doryteuthis pealeii</x:v>
      </x:c>
      <x:c r="C121" s="52" t="n">
        <x:v>5.16</x:v>
      </x:c>
      <x:c r="D121" s="17" t="str">
        <x:v>Doryteuthis</x:v>
      </x:c>
      <x:c r="E121" s="17" t="str">
        <x:v>Loliginidae</x:v>
      </x:c>
      <x:c r="F121" s="17" t="str">
        <x:v>Pelagic squids</x:v>
      </x:c>
      <x:c r="G121" s="17" t="str">
        <x:v>Cephalopoda</x:v>
      </x:c>
      <x:c r="H121" s="17" t="str">
        <x:v>Genus</x:v>
      </x:c>
      <x:c r="I121" s="52" t="n">
        <x:v>4.85</x:v>
      </x:c>
      <x:c r="J121" s="52" t="n">
        <x:v>-0.3100000000000005</x:v>
      </x:c>
      <x:c r="K121" s="52" t="n">
        <x:v>0.3100000000000005</x:v>
      </x:c>
      <x:c r="L121" s="53" t="n">
        <x:v>6.007751937984505</x:v>
      </x:c>
      <x:c r="M121" s="17" t="str">
        <x:v>Predicted</x:v>
      </x:c>
      <x:c r="N121" s="17" t="str">
        <x:v>Exact taxon absent from all remaining sources</x:v>
      </x:c>
    </x:row>
    <x:row r="122" ht="15" hidden="0" customHeight="1">
      <x:c r="A122" s="17" t="str">
        <x:v>Wuenschel et al. 2024</x:v>
      </x:c>
      <x:c r="B122" s="17" t="str">
        <x:v>Illex illecebrosus</x:v>
      </x:c>
      <x:c r="C122" s="52" t="n">
        <x:v>5.45</x:v>
      </x:c>
      <x:c r="D122" s="17" t="str">
        <x:v>Illex</x:v>
      </x:c>
      <x:c r="E122" s="17" t="str">
        <x:v>Ommastrephidae</x:v>
      </x:c>
      <x:c r="F122" s="17" t="str">
        <x:v>Pelagic squids</x:v>
      </x:c>
      <x:c r="G122" s="17" t="str">
        <x:v>Cephalopoda</x:v>
      </x:c>
      <x:c r="H122" s="17" t="str">
        <x:v>Genus</x:v>
      </x:c>
      <x:c r="I122" s="52" t="n">
        <x:v>4.3</x:v>
      </x:c>
      <x:c r="J122" s="52" t="n">
        <x:v>-1.1500000000000004</x:v>
      </x:c>
      <x:c r="K122" s="52" t="n">
        <x:v>1.1500000000000004</x:v>
      </x:c>
      <x:c r="L122" s="53" t="n">
        <x:v>21.100917431192666</x:v>
      </x:c>
      <x:c r="M122" s="17" t="str">
        <x:v>Predicted</x:v>
      </x:c>
      <x:c r="N122" s="17" t="str">
        <x:v>Exact taxon absent from all remaining sources</x:v>
      </x:c>
    </x:row>
    <x:row r="123" ht="15" hidden="0" customHeight="1">
      <x:c r="A123" s="17" t="str">
        <x:v>Wuenschel et al. 2024</x:v>
      </x:c>
      <x:c r="B123" s="17" t="str">
        <x:v>Merluccius bilinearis</x:v>
      </x:c>
      <x:c r="C123" s="52" t="n">
        <x:v>4.28</x:v>
      </x:c>
      <x:c r="D123" s="17" t="str">
        <x:v>Merluccius</x:v>
      </x:c>
      <x:c r="E123" s="17" t="str">
        <x:v>Merlucciidae</x:v>
      </x:c>
      <x:c r="F123" s="17" t="str">
        <x:v>Other demersal fishes</x:v>
      </x:c>
      <x:c r="G123" s="17" t="str">
        <x:v>Teleostei</x:v>
      </x:c>
      <x:c r="H123" s="17" t="str">
        <x:v>Genus</x:v>
      </x:c>
      <x:c r="I123" s="52" t="n">
        <x:v>3.7</x:v>
      </x:c>
      <x:c r="J123" s="52" t="n">
        <x:v>-0.5800000000000001</x:v>
      </x:c>
      <x:c r="K123" s="52" t="n">
        <x:v>0.5800000000000001</x:v>
      </x:c>
      <x:c r="L123" s="53" t="n">
        <x:v>13.55140186915888</x:v>
      </x:c>
      <x:c r="M123" s="17" t="str">
        <x:v>Predicted</x:v>
      </x:c>
      <x:c r="N123" s="17" t="str">
        <x:v>Exact taxon absent from all remaining sources</x:v>
      </x:c>
    </x:row>
    <x:row r="124" ht="15" hidden="0" customHeight="1">
      <x:c r="A124" s="17" t="str">
        <x:v>Wuenschel et al. 2024</x:v>
      </x:c>
      <x:c r="B124" s="17" t="str">
        <x:v>Peprilus triacanthus</x:v>
      </x:c>
      <x:c r="C124" s="52" t="n">
        <x:v>6.74</x:v>
      </x:c>
      <x:c r="D124" s="17" t="str">
        <x:v>Peprilus</x:v>
      </x:c>
      <x:c r="E124" s="17" t="str">
        <x:v>Stromateidae</x:v>
      </x:c>
      <x:c r="F124" s="17" t="str">
        <x:v>Small pelagic forage fishes</x:v>
      </x:c>
      <x:c r="G124" s="17" t="str">
        <x:v>Teleostei</x:v>
      </x:c>
      <x:c r="H124" s="17" t="str">
        <x:v>Ecological proxy</x:v>
      </x:c>
      <x:c r="I124" s="52" t="n">
        <x:v>6.75</x:v>
      </x:c>
      <x:c r="J124" s="52" t="n">
        <x:v>0.009999999999999787</x:v>
      </x:c>
      <x:c r="K124" s="52" t="n">
        <x:v>0.009999999999999787</x:v>
      </x:c>
      <x:c r="L124" s="53" t="n">
        <x:v>0.14836795252225204</x:v>
      </x:c>
      <x:c r="M124" s="17" t="str">
        <x:v>Predicted</x:v>
      </x:c>
      <x:c r="N124" s="17" t="str">
        <x:v>Exact taxon absent from all remaining sources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28" hidden="0" customWidth="1"/>
    <x:col min="3" max="3" width="10.380000114440918" hidden="0" customWidth="1"/>
    <x:col min="4" max="4" width="23" hidden="0" customWidth="1"/>
    <x:col min="5" max="5" width="5.25" hidden="0" customWidth="1"/>
    <x:col min="6" max="6" width="11.630000114440918" hidden="0" customWidth="1"/>
    <x:col min="7" max="7" width="6.380000114440918" hidden="0" customWidth="1"/>
    <x:col min="8" max="8" width="28" hidden="0" customWidth="1"/>
  </x:cols>
  <x:sheetData>
    <x:row r="1" ht="52.79999923706055" hidden="0" customHeight="1">
      <x:c r="A1" s="24" t="str">
        <x:v>Held-out source</x:v>
      </x:c>
      <x:c r="B1" s="24" t="str">
        <x:v>Taxon</x:v>
      </x:c>
      <x:c r="C1" s="24" t="str">
        <x:v>Observed ED</x:v>
      </x:c>
      <x:c r="D1" s="24" t="str">
        <x:v>Exact ED from other source(s)</x:v>
      </x:c>
      <x:c r="E1" s="24" t="str">
        <x:v>Error</x:v>
      </x:c>
      <x:c r="F1" s="24" t="str">
        <x:v>Absolute error</x:v>
      </x:c>
      <x:c r="G1" s="24" t="str">
        <x:v>APE (%)</x:v>
      </x:c>
      <x:c r="H1" s="24" t="str">
        <x:v>Interpretation</x:v>
      </x:c>
    </x:row>
    <x:row r="2" ht="15" hidden="0" customHeight="1">
      <x:c r="A2" s="17" t="str">
        <x:v>Spitz et al. 2010</x:v>
      </x:c>
      <x:c r="B2" s="17" t="str">
        <x:v>Clupea harengus</x:v>
      </x:c>
      <x:c r="C2" s="52" t="n">
        <x:v>10.2</x:v>
      </x:c>
      <x:c r="D2" s="52" t="n">
        <x:v>5.71</x:v>
      </x:c>
      <x:c r="E2" s="52" t="n">
        <x:v>-4.489999999999999</x:v>
      </x:c>
      <x:c r="F2" s="52" t="n">
        <x:v>4.489999999999999</x:v>
      </x:c>
      <x:c r="G2" s="53" t="n">
        <x:v>44.01960784313725</x:v>
      </x:c>
      <x:c r="H2" s="17" t="str">
        <x:v>Large cross-study discrepancy</x:v>
      </x:c>
    </x:row>
    <x:row r="3" ht="15" hidden="0" customHeight="1">
      <x:c r="A3" s="17" t="str">
        <x:v>Wuenschel et al. 2024</x:v>
      </x:c>
      <x:c r="B3" s="17" t="str">
        <x:v>Clupea harengus</x:v>
      </x:c>
      <x:c r="C3" s="52" t="n">
        <x:v>5.71</x:v>
      </x:c>
      <x:c r="D3" s="52" t="n">
        <x:v>10.2</x:v>
      </x:c>
      <x:c r="E3" s="52" t="n">
        <x:v>4.489999999999999</x:v>
      </x:c>
      <x:c r="F3" s="52" t="n">
        <x:v>4.489999999999999</x:v>
      </x:c>
      <x:c r="G3" s="53" t="n">
        <x:v>78.6339754816112</x:v>
      </x:c>
      <x:c r="H3" s="17" t="str">
        <x:v>Large cross-study discrepancy</x:v>
      </x:c>
    </x:row>
    <x:row r="4" ht="15" hidden="0" customHeight="1">
      <x:c r="A4" s="17" t="str">
        <x:v>Lawson et al. 2018</x:v>
      </x:c>
      <x:c r="B4" s="17" t="str">
        <x:v>Hyperlophus vittatus</x:v>
      </x:c>
      <x:c r="C4" s="52" t="n">
        <x:v>4.24</x:v>
      </x:c>
      <x:c r="D4" s="52" t="n">
        <x:v>4.64</x:v>
      </x:c>
      <x:c r="E4" s="52" t="n">
        <x:v>0.39999999999999947</x:v>
      </x:c>
      <x:c r="F4" s="52" t="n">
        <x:v>0.39999999999999947</x:v>
      </x:c>
      <x:c r="G4" s="53" t="n">
        <x:v>9.43396226415093</x:v>
      </x:c>
      <x:c r="H4" s="17" t="str">
        <x:v>Relatively consistent across sources</x:v>
      </x:c>
    </x:row>
    <x:row r="5" ht="15" hidden="0" customHeight="1">
      <x:c r="A5" s="17" t="str">
        <x:v>Nitschke et al. 2026</x:v>
      </x:c>
      <x:c r="B5" s="17" t="str">
        <x:v>Hyperlophus vittatus</x:v>
      </x:c>
      <x:c r="C5" s="52" t="n">
        <x:v>4.64</x:v>
      </x:c>
      <x:c r="D5" s="52" t="n">
        <x:v>4.24</x:v>
      </x:c>
      <x:c r="E5" s="52" t="n">
        <x:v>-0.39999999999999947</x:v>
      </x:c>
      <x:c r="F5" s="52" t="n">
        <x:v>0.39999999999999947</x:v>
      </x:c>
      <x:c r="G5" s="53" t="n">
        <x:v>8.620689655172404</x:v>
      </x:c>
      <x:c r="H5" s="17" t="str">
        <x:v>Relatively consistent across sources</x:v>
      </x:c>
    </x:row>
    <x:row r="6" ht="15" hidden="0" customHeight="1">
      <x:c r="A6" s="17" t="str">
        <x:v>Lawson et al. 2018</x:v>
      </x:c>
      <x:c r="B6" s="17" t="str">
        <x:v>Hyporhamphus regularis</x:v>
      </x:c>
      <x:c r="C6" s="52" t="n">
        <x:v>5.81</x:v>
      </x:c>
      <x:c r="D6" s="52" t="n">
        <x:v>5.85</x:v>
      </x:c>
      <x:c r="E6" s="52" t="n">
        <x:v>0.040000000000000036</x:v>
      </x:c>
      <x:c r="F6" s="52" t="n">
        <x:v>0.040000000000000036</x:v>
      </x:c>
      <x:c r="G6" s="53" t="n">
        <x:v>0.688468158347677</x:v>
      </x:c>
      <x:c r="H6" s="17" t="str">
        <x:v>Relatively consistent across sources</x:v>
      </x:c>
    </x:row>
    <x:row r="7" ht="15" hidden="0" customHeight="1">
      <x:c r="A7" s="17" t="str">
        <x:v>Nitschke et al. 2026</x:v>
      </x:c>
      <x:c r="B7" s="17" t="str">
        <x:v>Hyporhamphus regularis</x:v>
      </x:c>
      <x:c r="C7" s="52" t="n">
        <x:v>5.85</x:v>
      </x:c>
      <x:c r="D7" s="52" t="n">
        <x:v>5.81</x:v>
      </x:c>
      <x:c r="E7" s="52" t="n">
        <x:v>-0.040000000000000036</x:v>
      </x:c>
      <x:c r="F7" s="52" t="n">
        <x:v>0.040000000000000036</x:v>
      </x:c>
      <x:c r="G7" s="53" t="n">
        <x:v>0.6837606837606843</x:v>
      </x:c>
      <x:c r="H7" s="17" t="str">
        <x:v>Relatively consistent across sources</x:v>
      </x:c>
    </x:row>
    <x:row r="8" ht="15" hidden="0" customHeight="1">
      <x:c r="A8" s="17" t="str">
        <x:v>Lawson et al. 2018</x:v>
      </x:c>
      <x:c r="B8" s="17" t="str">
        <x:v>Sardinops sagax</x:v>
      </x:c>
      <x:c r="C8" s="52" t="n">
        <x:v>6.84</x:v>
      </x:c>
      <x:c r="D8" s="52" t="n">
        <x:v>6.66</x:v>
      </x:c>
      <x:c r="E8" s="52" t="n">
        <x:v>-0.17999999999999972</x:v>
      </x:c>
      <x:c r="F8" s="52" t="n">
        <x:v>0.17999999999999972</x:v>
      </x:c>
      <x:c r="G8" s="53" t="n">
        <x:v>2.6315789473684172</x:v>
      </x:c>
      <x:c r="H8" s="17" t="str">
        <x:v>Relatively consistent across sources</x:v>
      </x:c>
    </x:row>
    <x:row r="9" ht="15" hidden="0" customHeight="1">
      <x:c r="A9" s="17" t="str">
        <x:v>Price et al. 2024</x:v>
      </x:c>
      <x:c r="B9" s="17" t="str">
        <x:v>Sardinops sagax</x:v>
      </x:c>
      <x:c r="C9" s="52" t="n">
        <x:v>6.66</x:v>
      </x:c>
      <x:c r="D9" s="52" t="n">
        <x:v>6.84</x:v>
      </x:c>
      <x:c r="E9" s="52" t="n">
        <x:v>0.17999999999999972</x:v>
      </x:c>
      <x:c r="F9" s="52" t="n">
        <x:v>0.17999999999999972</x:v>
      </x:c>
      <x:c r="G9" s="53" t="n">
        <x:v>2.702702702702698</x:v>
      </x:c>
      <x:c r="H9" s="17" t="str">
        <x:v>Relatively consistent across sources</x:v>
      </x:c>
    </x:row>
    <x:row r="10" ht="15" hidden="0" customHeight="1">
      <x:c r="A10" s="17" t="str">
        <x:v>Spitz et al. 2010</x:v>
      </x:c>
      <x:c r="B10" s="17" t="str">
        <x:v>Scomber scombrus</x:v>
      </x:c>
      <x:c r="C10" s="52" t="n">
        <x:v>7.9</x:v>
      </x:c>
      <x:c r="D10" s="52" t="n">
        <x:v>5.73</x:v>
      </x:c>
      <x:c r="E10" s="52" t="n">
        <x:v>-2.17</x:v>
      </x:c>
      <x:c r="F10" s="52" t="n">
        <x:v>2.17</x:v>
      </x:c>
      <x:c r="G10" s="53" t="n">
        <x:v>27.468354430379744</x:v>
      </x:c>
      <x:c r="H10" s="17" t="str">
        <x:v>Large cross-study discrepancy</x:v>
      </x:c>
    </x:row>
    <x:row r="11" ht="15" hidden="0" customHeight="1">
      <x:c r="A11" s="17" t="str">
        <x:v>Wuenschel et al. 2024</x:v>
      </x:c>
      <x:c r="B11" s="17" t="str">
        <x:v>Scomber scombrus</x:v>
      </x:c>
      <x:c r="C11" s="52" t="n">
        <x:v>5.73</x:v>
      </x:c>
      <x:c r="D11" s="52" t="n">
        <x:v>7.9</x:v>
      </x:c>
      <x:c r="E11" s="52" t="n">
        <x:v>2.17</x:v>
      </x:c>
      <x:c r="F11" s="52" t="n">
        <x:v>2.17</x:v>
      </x:c>
      <x:c r="G11" s="53" t="n">
        <x:v>37.87085514834205</x:v>
      </x:c>
      <x:c r="H11" s="17" t="str">
        <x:v>Large cross-study discrepancy</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28" hidden="0" customWidth="1"/>
    <x:col min="3" max="3" width="10.380000114440918" hidden="0" customWidth="1"/>
    <x:col min="4" max="4" width="24" hidden="0" customWidth="1"/>
    <x:col min="5" max="5" width="24" hidden="0" customWidth="1"/>
    <x:col min="6" max="6" width="24" hidden="0" customWidth="1"/>
    <x:col min="7" max="7" width="24" hidden="0" customWidth="1"/>
  </x:cols>
  <x:sheetData>
    <x:row r="1" ht="39.599998474121094" hidden="0" customHeight="1">
      <x:c r="A1" s="24" t="str">
        <x:v>Held-out source</x:v>
      </x:c>
      <x:c r="B1" s="24" t="str">
        <x:v>Taxon</x:v>
      </x:c>
      <x:c r="C1" s="24" t="str">
        <x:v>Observed ED</x:v>
      </x:c>
      <x:c r="D1" s="24" t="str">
        <x:v>Genus</x:v>
      </x:c>
      <x:c r="E1" s="24" t="str">
        <x:v>Family</x:v>
      </x:c>
      <x:c r="F1" s="24" t="str">
        <x:v>Energy proxy group</x:v>
      </x:c>
      <x:c r="G1" s="24" t="str">
        <x:v>Broad group</x:v>
      </x:c>
    </x:row>
    <x:row r="2" ht="15" hidden="0" customHeight="1">
      <x:c r="A2" t="str">
        <x:v>Spitz et al. 2010</x:v>
      </x:c>
      <x:c r="B2" t="str">
        <x:v>Aurelia aurita</x:v>
      </x:c>
      <x:c r="C2" s="32" t="n">
        <x:v>0.7</x:v>
      </x:c>
      <x:c r="D2" t="str">
        <x:v>Aurelia</x:v>
      </x:c>
      <x:c r="E2" t="str">
        <x:v>Ulmaridae</x:v>
      </x:c>
      <x:c r="F2" t="str">
        <x:v>Gelatinous zooplankton - cnidarians</x:v>
      </x:c>
      <x:c r="G2" t="str">
        <x:v>Cnidaria</x:v>
      </x:c>
    </x:row>
    <x:row r="3" ht="15" hidden="0" customHeight="1">
      <x:c r="A3" t="str">
        <x:v>Spitz et al. 2010</x:v>
      </x:c>
      <x:c r="B3" t="str">
        <x:v>Scyliorhinus canicula</x:v>
      </x:c>
      <x:c r="C3" s="32" t="n">
        <x:v>6.4</x:v>
      </x:c>
      <x:c r="D3" t="str">
        <x:v>Scyliorhinus</x:v>
      </x:c>
      <x:c r="E3" t="str">
        <x:v>Scyliorhinidae</x:v>
      </x:c>
      <x:c r="F3" t="str">
        <x:v>Demersal sharks</x:v>
      </x:c>
      <x:c r="G3" t="str">
        <x:v>Chondrichthyes</x:v>
      </x:c>
    </x:row>
    <x:row r="4" ht="15" hidden="0" customHeight="1">
      <x:c r="A4" t="str">
        <x:v>Spitz et al. 2010</x:v>
      </x:c>
      <x:c r="B4" t="str">
        <x:v>Leucoraja naevus</x:v>
      </x:c>
      <x:c r="C4" s="32" t="n">
        <x:v>5.7</x:v>
      </x:c>
      <x:c r="D4" t="str">
        <x:v>Leucoraja</x:v>
      </x:c>
      <x:c r="E4" t="str">
        <x:v>Rajidae</x:v>
      </x:c>
      <x:c r="F4" t="str">
        <x:v>Demersal rays</x:v>
      </x:c>
      <x:c r="G4" t="str">
        <x:v>Chondrichthyes</x:v>
      </x:c>
    </x:row>
    <x:row r="5" ht="15" hidden="0" customHeight="1">
      <x:c r="A5" t="str">
        <x:v>Spitz et al. 2010</x:v>
      </x:c>
      <x:c r="B5" t="str">
        <x:v>Chimaera monstrosa</x:v>
      </x:c>
      <x:c r="C5" s="32" t="n">
        <x:v>3.9</x:v>
      </x:c>
      <x:c r="D5" t="str">
        <x:v>Chimaera</x:v>
      </x:c>
      <x:c r="E5" t="str">
        <x:v>Chimaeridae</x:v>
      </x:c>
      <x:c r="F5" t="str">
        <x:v>Demersal chimaeras</x:v>
      </x:c>
      <x:c r="G5" t="str">
        <x:v>Chondrichthyes</x:v>
      </x:c>
    </x:row>
    <x:row r="6"/>
    <x:row r="7">
      <x:c r="A7" s="44" t="str">
        <x:v>All four unpredicted targets belonged to Spitz et al. 2010. When that entire source was removed, the current database contained no remaining Cnidaria ED for Aurelia aurita and no remaining Chondrichthyes ED for Scyliorhinus canicula, Leucoraja naevus, and Chimaera monstrosa.</x:v>
      </x:c>
      <x:c r="B7" s="44"/>
      <x:c r="C7" s="44"/>
      <x:c r="D7" s="44"/>
      <x:c r="E7" s="44"/>
      <x:c r="F7" s="44"/>
      <x:c r="G7" s="44"/>
    </x:row>
    <x:row r="8">
      <x:c r="A8" s="44"/>
      <x:c r="B8" s="44"/>
      <x:c r="C8" s="44"/>
      <x:c r="D8" s="44"/>
      <x:c r="E8" s="44"/>
      <x:c r="F8" s="44"/>
      <x:c r="G8" s="44"/>
    </x:row>
    <x:row r="9">
      <x:c r="A9" s="44"/>
      <x:c r="B9" s="44"/>
      <x:c r="C9" s="44"/>
      <x:c r="D9" s="44"/>
      <x:c r="E9" s="44"/>
      <x:c r="F9" s="44"/>
      <x:c r="G9" s="44"/>
    </x:row>
  </x:sheetData>
  <x:mergeCells>
    <x:mergeCell ref="A7:G9"/>
  </x:mergeCells>
  <x:pageMargins left="0.7" right="0.7" top="0.75" bottom="0.75" header="0.3" footer="0.3"/>
</x:worksheet>
</file>

<file path=xl/worksheets/sheet8.xml><?xml version="1.0" encoding="utf-8"?>
<x:worksheet xmlns:x="http://schemas.openxmlformats.org/spreadsheetml/2006/main">
  <x:sheetFormatPr defaultRowHeight="15"/>
  <x:cols>
    <x:col min="1" max="1" width="26" hidden="0" customWidth="1"/>
    <x:col min="2" max="2" width="85" hidden="0" customWidth="1"/>
  </x:cols>
  <x:sheetData>
    <x:row r="1" ht="26.399999618530273" hidden="0" customHeight="1">
      <x:c r="A1" s="24" t="str">
        <x:v>Item</x:v>
      </x:c>
      <x:c r="B1" s="24" t="str">
        <x:v>Definition / rule</x:v>
      </x:c>
    </x:row>
    <x:row r="2" ht="171.60000610351562" hidden="0" customHeight="1">
      <x:c r="A2" s="17" t="str">
        <x:v>Purpose</x:v>
      </x:c>
      <x:c r="B2" s="17" t="str">
        <x:v>Leave-one-source-out cross-validation of the PECC v1.0.0 energy-density assignment framework.</x:v>
      </x:c>
    </x:row>
    <x:row r="3" ht="118.80000305175781" hidden="0" customHeight="1">
      <x:c r="A3" s="17" t="str">
        <x:v>Source unit</x:v>
      </x:c>
      <x:c r="B3" s="17" t="str">
        <x:v>Source_short; six independent literature sources were held out one at a time.</x:v>
      </x:c>
    </x:row>
    <x:row r="4" ht="224.39999389648438" hidden="0" customHeight="1">
      <x:c r="A4" s="17" t="str">
        <x:v>Target unit</x:v>
      </x:c>
      <x:c r="B4" s="17" t="str">
        <x:v>Species-specific source–taxon combination. sp./spp. pooled labels were excluded, matching the previous 128-taxon validation rule.</x:v>
      </x:c>
    </x:row>
    <x:row r="5" ht="343.20001220703125" hidden="0" customHeight="1">
      <x:c r="A5" s="17" t="str">
        <x:v>Observed ED</x:v>
      </x:c>
      <x:c r="B5" s="17" t="str">
        <x:v>Within the held-out source and taxon, overall records were preferred; if multiple overall values were available their median was used. If no overall record existed, the median of available held-out records was used.</x:v>
      </x:c>
    </x:row>
    <x:row r="6" ht="184.8000030517578" hidden="0" customHeight="1">
      <x:c r="A6" s="17" t="str">
        <x:v>Training set</x:v>
      </x:c>
      <x:c r="B6" s="17" t="str">
        <x:v>All records from the held-out source were removed, including species, family, order/class, and functional-group records.</x:v>
      </x:c>
    </x:row>
    <x:row r="7" ht="198" hidden="0" customHeight="1">
      <x:c r="A7" s="17" t="str">
        <x:v>Lookup verification</x:v>
      </x:c>
      <x:c r="B7" s="17" t="str">
        <x:v>The lookup-generation algorithm reconstructed all 384/384 recommended ED values in the full database before source holdout.</x:v>
      </x:c>
    </x:row>
    <x:row r="8" ht="158.39999389648438" hidden="0" customHeight="1">
      <x:c r="A8" s="17" t="str">
        <x:v>Exact taxon</x:v>
      </x:c>
      <x:c r="B8" s="17" t="str">
        <x:v>If the same exact taxon remained in another source, the remaining-source exact ED was used.</x:v>
      </x:c>
    </x:row>
    <x:row r="9" ht="118.80000305175781" hidden="0" customHeight="1">
      <x:c r="A9" s="17" t="str">
        <x:v>Genus</x:v>
      </x:c>
      <x:c r="B9" s="17" t="str">
        <x:v>Median of exact-taxon recommendations in the remaining-source genus.</x:v>
      </x:c>
    </x:row>
    <x:row r="10" ht="211.1999969482422" hidden="0" customHeight="1">
      <x:c r="A10" s="17" t="str">
        <x:v>Family</x:v>
      </x:c>
      <x:c r="B10" s="17" t="str">
        <x:v>Direct family-level ED in remaining sources was preferred; otherwise median of remaining exact-taxon recommendations in the family.</x:v>
      </x:c>
    </x:row>
    <x:row r="11" ht="316.79998779296875" hidden="0" customHeight="1">
      <x:c r="A11" s="17" t="str">
        <x:v>Ecological proxy</x:v>
      </x:c>
      <x:c r="B11" s="17" t="str">
        <x:v>Direct non-family group-level ED (Functional group / Order / Class) in remaining sources was preferred; otherwise median of remaining exact-taxon recommendations in the energy proxy group.</x:v>
      </x:c>
    </x:row>
    <x:row r="12" ht="224.39999389648438" hidden="0" customHeight="1">
      <x:c r="A12" s="17" t="str">
        <x:v>Broad group</x:v>
      </x:c>
      <x:c r="B12" s="17" t="str">
        <x:v>Median of remaining exact-taxon recommendations in the broad taxonomic group; non-species broad records were used only if no exact taxa remained.</x:v>
      </x:c>
    </x:row>
    <x:row r="13" ht="132" hidden="0" customHeight="1">
      <x:c r="A13" s="17" t="str">
        <x:v>Final hierarchy</x:v>
      </x:c>
      <x:c r="B13" s="17" t="str">
        <x:v>Exact taxon &gt; Genus &gt; Family &gt; Ecological energy proxy &gt; Broad taxonomic group.</x:v>
      </x:c>
    </x:row>
    <x:row r="14" ht="237.60000610351562" hidden="0" customHeight="1">
      <x:c r="A14" s="17" t="str">
        <x:v>Fallback-only subset</x:v>
      </x:c>
      <x:c r="B14" s="17" t="str">
        <x:v>Targets for which no exact-taxon ED remained in any other source. This subset directly tests the fallback framework under source separation.</x:v>
      </x:c>
    </x:row>
    <x:row r="15" ht="105.5999984741211" hidden="0" customHeight="1">
      <x:c r="A15" s="17" t="str">
        <x:v>MAE</x:v>
      </x:c>
      <x:c r="B15" s="17" t="str">
        <x:v>Mean absolute error = mean(|predicted − observed|), kJ/g wet mass.</x:v>
      </x:c>
    </x:row>
    <x:row r="16" ht="132" hidden="0" customHeight="1">
      <x:c r="A16" s="17" t="str">
        <x:v>RMSE</x:v>
      </x:c>
      <x:c r="B16" s="17" t="str">
        <x:v>Root mean square error = sqrt(mean((predicted − observed)^2)), kJ/g wet mass.</x:v>
      </x:c>
    </x:row>
    <x:row r="17" ht="211.1999969482422" hidden="0" customHeight="1">
      <x:c r="A17" s="17" t="str">
        <x:v>MAPE</x:v>
      </x:c>
      <x:c r="B17" s="17" t="str">
        <x:v>Mean absolute percentage error = mean(|predicted − observed| / observed × 100). Percentage error is inflated for very low-ED prey.</x:v>
      </x:c>
    </x:row>
    <x:row r="18" ht="66" hidden="0" customHeight="1">
      <x:c r="A18" s="17" t="str">
        <x:v>Bias</x:v>
      </x:c>
      <x:c r="B18" s="17" t="str">
        <x:v>Mean(predicted − observed), kJ/g wet mass.</x:v>
      </x:c>
    </x:row>
    <x:row r="19" ht="343.20001220703125" hidden="0" customHeight="1">
      <x:c r="A19" s="17" t="str">
        <x:v>Interpretation</x:v>
      </x:c>
      <x:c r="B19" s="17" t="str">
        <x:v>This is stricter than leave-one-taxon-out because source-specific information is removed together, but it is still internal cross-validation of the same compiled literature corpus, not a truly independent external dataset.</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6" hidden="0" customWidth="1"/>
    <x:col min="2" max="2" width="18" hidden="0" customWidth="1"/>
    <x:col min="3" max="3" width="12" hidden="0" customWidth="1"/>
  </x:cols>
  <x:sheetData>
    <x:row r="1" ht="15" hidden="0" customHeight="1">
      <x:c r="A1" s="24" t="str">
        <x:v>QC item</x:v>
      </x:c>
      <x:c r="B1" s="24" t="str">
        <x:v>Result</x:v>
      </x:c>
      <x:c r="C1" s="24" t="str">
        <x:v>Status</x:v>
      </x:c>
    </x:row>
    <x:row r="2" ht="15" hidden="0" customHeight="1">
      <x:c r="A2" t="str">
        <x:v>EnergyDB_Final records</x:v>
      </x:c>
      <x:c r="B2" t="n">
        <x:v>187</x:v>
      </x:c>
      <x:c r="C2" t="str">
        <x:v>PASS</x:v>
      </x:c>
    </x:row>
    <x:row r="3" ht="15" hidden="0" customHeight="1">
      <x:c r="A3" t="str">
        <x:v>Literature sources</x:v>
      </x:c>
      <x:c r="B3" t="n">
        <x:v>6</x:v>
      </x:c>
      <x:c r="C3" t="str">
        <x:v>PASS</x:v>
      </x:c>
    </x:row>
    <x:row r="4" ht="15" hidden="0" customHeight="1">
      <x:c r="A4" t="str">
        <x:v>Full lookup keys reconstructed</x:v>
      </x:c>
      <x:c r="B4" t="n">
        <x:v>384</x:v>
      </x:c>
      <x:c r="C4" t="str">
        <x:v>PASS</x:v>
      </x:c>
    </x:row>
    <x:row r="5" ht="15" hidden="0" customHeight="1">
      <x:c r="A5" t="str">
        <x:v>Lookup values matching PECC Lookup_Defaults</x:v>
      </x:c>
      <x:c r="B5" t="str">
        <x:v>384 / 384</x:v>
      </x:c>
      <x:c r="C5" t="str">
        <x:v>PASS</x:v>
      </x:c>
    </x:row>
    <x:row r="6" ht="15" hidden="0" customHeight="1">
      <x:c r="A6" t="str">
        <x:v>Unique species-specific taxa</x:v>
      </x:c>
      <x:c r="B6" t="n">
        <x:v>128</x:v>
      </x:c>
      <x:c r="C6" t="str">
        <x:v>PASS</x:v>
      </x:c>
    </x:row>
    <x:row r="7" ht="15" hidden="0" customHeight="1">
      <x:c r="A7" t="str">
        <x:v>Source × taxon targets</x:v>
      </x:c>
      <x:c r="B7" t="n">
        <x:v>133</x:v>
      </x:c>
      <x:c r="C7" t="str">
        <x:v>PASS</x:v>
      </x:c>
    </x:row>
    <x:row r="8" ht="15" hidden="0" customHeight="1">
      <x:c r="A8" t="str">
        <x:v>Predicted targets</x:v>
      </x:c>
      <x:c r="B8" t="n">
        <x:v>129</x:v>
      </x:c>
      <x:c r="C8" t="str">
        <x:v>PASS</x:v>
      </x:c>
    </x:row>
    <x:row r="9" ht="15" hidden="0" customHeight="1">
      <x:c r="A9" t="str">
        <x:v>Unpredicted targets</x:v>
      </x:c>
      <x:c r="B9" t="n">
        <x:v>4</x:v>
      </x:c>
      <x:c r="C9" t="str">
        <x:v>REVIEW</x:v>
      </x:c>
    </x:row>
  </x:sheetData>
  <x:conditionalFormatting sqref="C2:C9">
    <x:cfRule type="expression" dxfId="1" priority="1">
      <x:formula>C2="PASS"</x:formula>
    </x:cfRule>
    <x:cfRule type="expression" dxfId="2" priority="2">
      <x:formula>C2="REVIEW"</x:formula>
    </x:cfRule>
  </x:conditionalFormatting>
  <x:pageMargins left="0.7" right="0.7" top="0.75" bottom="0.75" header="0.3" footer="0.3"/>
</x:worksheet>
</file>